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Rahul\Downloads\MapUp-Data-Assessment-F-main\MapUp-Data-Assessment-F-main\Submission\"/>
    </mc:Choice>
  </mc:AlternateContent>
  <xr:revisionPtr revIDLastSave="0" documentId="13_ncr:1_{2EE0AE21-10CF-408E-8A2D-F4AB5DCB9929}" xr6:coauthVersionLast="47" xr6:coauthVersionMax="47" xr10:uidLastSave="{00000000-0000-0000-0000-000000000000}"/>
  <bookViews>
    <workbookView xWindow="-110" yWindow="-110" windowWidth="19420" windowHeight="10300" tabRatio="849" activeTab="7" xr2:uid="{00000000-000D-0000-FFFF-FFFF00000000}"/>
  </bookViews>
  <sheets>
    <sheet name="Instructions" sheetId="22" r:id="rId1"/>
    <sheet name="Dataset_copy" sheetId="23" r:id="rId2"/>
    <sheet name="Dataset" sheetId="1" r:id="rId3"/>
    <sheet name="Task_1" sheetId="15" r:id="rId4"/>
    <sheet name="Task_2" sheetId="18" r:id="rId5"/>
    <sheet name="Task_3" sheetId="16" r:id="rId6"/>
    <sheet name="Task_4" sheetId="19" r:id="rId7"/>
    <sheet name="Task_5" sheetId="20" r:id="rId8"/>
  </sheets>
  <definedNames>
    <definedName name="_xlnm._FilterDatabase" localSheetId="2" hidden="1">Dataset!$A$1:$W$40</definedName>
    <definedName name="_xlnm._FilterDatabase" localSheetId="1" hidden="1">Dataset_copy!$A$1:$W$40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I24" i="20" l="1"/>
  <c r="I25" i="20"/>
  <c r="I26" i="20"/>
  <c r="I27" i="20"/>
  <c r="I28" i="20"/>
  <c r="I29" i="20"/>
  <c r="I30" i="20"/>
  <c r="I31" i="20"/>
  <c r="I32" i="20"/>
  <c r="I33" i="20"/>
  <c r="I34" i="20"/>
  <c r="I35" i="20"/>
  <c r="I23" i="20"/>
  <c r="J23" i="20" s="1"/>
  <c r="H24" i="20"/>
  <c r="J24" i="20" s="1"/>
  <c r="H25" i="20"/>
  <c r="J25" i="20" s="1"/>
  <c r="H26" i="20"/>
  <c r="J26" i="20" s="1"/>
  <c r="H27" i="20"/>
  <c r="J27" i="20" s="1"/>
  <c r="H28" i="20"/>
  <c r="J28" i="20" s="1"/>
  <c r="H29" i="20"/>
  <c r="J29" i="20" s="1"/>
  <c r="H30" i="20"/>
  <c r="J30" i="20" s="1"/>
  <c r="H31" i="20"/>
  <c r="J31" i="20" s="1"/>
  <c r="H32" i="20"/>
  <c r="J32" i="20" s="1"/>
  <c r="H33" i="20"/>
  <c r="J33" i="20" s="1"/>
  <c r="H34" i="20"/>
  <c r="J34" i="20" s="1"/>
  <c r="H35" i="20"/>
  <c r="J35" i="20" s="1"/>
  <c r="H23" i="20"/>
  <c r="O10" i="20"/>
  <c r="O11" i="20"/>
  <c r="O12" i="20"/>
  <c r="O13" i="20"/>
  <c r="O14" i="20"/>
  <c r="O15" i="20"/>
  <c r="O16" i="20"/>
  <c r="O17" i="20"/>
  <c r="O18" i="20"/>
  <c r="C22" i="19" a="1"/>
  <c r="C22" i="19" s="1"/>
  <c r="C29" i="18"/>
  <c r="C28" i="18"/>
  <c r="D28" i="18"/>
  <c r="E28" i="18"/>
  <c r="F28" i="18"/>
  <c r="D29" i="18"/>
  <c r="E29" i="18"/>
  <c r="F29" i="18"/>
  <c r="C30" i="18"/>
  <c r="D30" i="18"/>
  <c r="E30" i="18"/>
  <c r="F30" i="18"/>
  <c r="B30" i="18"/>
  <c r="B29" i="18"/>
  <c r="B28" i="18"/>
  <c r="B6" i="18"/>
  <c r="C14" i="18"/>
  <c r="D14" i="18"/>
  <c r="E14" i="18"/>
  <c r="F14" i="18"/>
  <c r="C15" i="18"/>
  <c r="D15" i="18"/>
  <c r="E15" i="18"/>
  <c r="F15" i="18"/>
  <c r="C16" i="18"/>
  <c r="D16" i="18"/>
  <c r="E16" i="18"/>
  <c r="F16" i="18"/>
  <c r="C17" i="18"/>
  <c r="D17" i="18"/>
  <c r="E17" i="18"/>
  <c r="F17" i="18"/>
  <c r="C18" i="18"/>
  <c r="D18" i="18"/>
  <c r="E18" i="18"/>
  <c r="F18" i="18"/>
  <c r="C19" i="18"/>
  <c r="D19" i="18"/>
  <c r="E19" i="18"/>
  <c r="F19" i="18"/>
  <c r="C20" i="18"/>
  <c r="D20" i="18"/>
  <c r="E20" i="18"/>
  <c r="F20" i="18"/>
  <c r="C21" i="18"/>
  <c r="D21" i="18"/>
  <c r="E21" i="18"/>
  <c r="F21" i="18"/>
  <c r="C22" i="18"/>
  <c r="D22" i="18"/>
  <c r="E22" i="18"/>
  <c r="F22" i="18"/>
  <c r="C23" i="18"/>
  <c r="D23" i="18"/>
  <c r="E23" i="18"/>
  <c r="F23" i="18"/>
  <c r="C24" i="18"/>
  <c r="D24" i="18"/>
  <c r="E24" i="18"/>
  <c r="F24" i="18"/>
  <c r="C25" i="18"/>
  <c r="D25" i="18"/>
  <c r="E25" i="18"/>
  <c r="F25" i="18"/>
  <c r="C26" i="18"/>
  <c r="D26" i="18"/>
  <c r="E26" i="18"/>
  <c r="F26" i="18"/>
  <c r="C27" i="18"/>
  <c r="D27" i="18"/>
  <c r="E27" i="18"/>
  <c r="F27" i="18"/>
  <c r="C7" i="18"/>
  <c r="D7" i="18"/>
  <c r="E7" i="18"/>
  <c r="F7" i="18"/>
  <c r="C8" i="18"/>
  <c r="D8" i="18"/>
  <c r="E8" i="18"/>
  <c r="F8" i="18"/>
  <c r="C9" i="18"/>
  <c r="D9" i="18"/>
  <c r="E9" i="18"/>
  <c r="F9" i="18"/>
  <c r="C10" i="18"/>
  <c r="D10" i="18"/>
  <c r="E10" i="18"/>
  <c r="F10" i="18"/>
  <c r="C11" i="18"/>
  <c r="D11" i="18"/>
  <c r="E11" i="18"/>
  <c r="F11" i="18"/>
  <c r="C12" i="18"/>
  <c r="D12" i="18"/>
  <c r="E12" i="18"/>
  <c r="F12" i="18"/>
  <c r="C13" i="18"/>
  <c r="D13" i="18"/>
  <c r="E13" i="18"/>
  <c r="F13" i="18"/>
  <c r="F6" i="18"/>
  <c r="E6" i="18"/>
  <c r="D6" i="18"/>
  <c r="C6" i="18"/>
  <c r="B7" i="18"/>
  <c r="B8" i="18"/>
  <c r="B9" i="18"/>
  <c r="B10" i="18"/>
  <c r="B11" i="18"/>
  <c r="B12" i="18"/>
  <c r="B13" i="18"/>
  <c r="B14" i="18"/>
  <c r="B15" i="18"/>
  <c r="B16" i="18"/>
  <c r="B17" i="18"/>
  <c r="B18" i="18"/>
  <c r="B19" i="18"/>
  <c r="B20" i="18"/>
  <c r="B21" i="18"/>
  <c r="B22" i="18"/>
  <c r="B23" i="18"/>
  <c r="B24" i="18"/>
  <c r="B25" i="18"/>
  <c r="B26" i="18"/>
  <c r="B27" i="18"/>
  <c r="O45" i="2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3365E0A-6D5C-4986-9A93-63368094E259}" keepAlive="1" name="Query - Table2" description="Connection to the 'Table2' query in the workbook." type="5" refreshedVersion="0" background="1">
    <dbPr connection="Provider=Microsoft.Mashup.OleDb.1;Data Source=$Workbook$;Location=Table2;Extended Properties=&quot;&quot;" command="SELECT * FROM [Table2]"/>
  </connection>
</connections>
</file>

<file path=xl/sharedStrings.xml><?xml version="1.0" encoding="utf-8"?>
<sst xmlns="http://schemas.openxmlformats.org/spreadsheetml/2006/main" count="554" uniqueCount="189">
  <si>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</si>
  <si>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</si>
  <si>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</si>
  <si>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</si>
  <si>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</si>
  <si>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</si>
  <si>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</si>
  <si>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</si>
  <si>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</si>
  <si>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</si>
  <si>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</si>
  <si>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</si>
  <si>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</si>
  <si>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</si>
  <si>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</si>
  <si>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</si>
  <si>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</si>
  <si>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</si>
  <si>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</si>
  <si>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</si>
  <si>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</si>
  <si>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</si>
  <si>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</si>
  <si>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</si>
  <si>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</si>
  <si>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</si>
  <si>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</si>
  <si>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</si>
  <si>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</si>
  <si>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</si>
  <si>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</si>
  <si>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</si>
  <si>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</si>
  <si>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</si>
  <si>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</si>
  <si>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</si>
  <si>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</si>
  <si>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</si>
  <si>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</si>
  <si>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</si>
  <si>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</si>
  <si>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</si>
  <si>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</si>
  <si>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</si>
  <si>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</si>
  <si>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</si>
  <si>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</si>
  <si>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</si>
  <si>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</si>
  <si>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</si>
  <si>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</si>
  <si>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</si>
  <si>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</si>
  <si>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</si>
  <si>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</si>
  <si>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</si>
  <si>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</si>
  <si>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</si>
  <si>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</si>
  <si>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</si>
  <si>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</si>
  <si>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</si>
  <si>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</si>
  <si>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</si>
  <si>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</si>
  <si>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</si>
  <si>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</si>
  <si>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</si>
  <si>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</si>
  <si>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</si>
  <si>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</si>
  <si>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</si>
  <si>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</si>
  <si>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</si>
  <si>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</si>
  <si>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</si>
  <si>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</si>
  <si>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</si>
  <si>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</si>
  <si>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</si>
  <si>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</si>
  <si>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</si>
  <si>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</si>
  <si>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</si>
  <si>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</si>
  <si>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</si>
  <si>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</si>
  <si>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</si>
  <si>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</si>
  <si>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</si>
  <si>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</si>
  <si>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</si>
  <si>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</si>
  <si>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</si>
  <si>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</si>
  <si>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</si>
  <si>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</si>
  <si>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</si>
  <si>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</si>
  <si>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</si>
  <si>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</si>
  <si>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</si>
  <si>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</si>
  <si>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</si>
  <si>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</si>
  <si>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</si>
  <si>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</si>
  <si>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</si>
  <si>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</si>
  <si>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</si>
  <si>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</si>
  <si>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</si>
  <si>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</si>
  <si>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</si>
  <si>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</si>
  <si>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</si>
  <si>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</si>
  <si>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</si>
  <si>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</si>
  <si>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</si>
  <si>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</si>
  <si>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</si>
  <si>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</si>
  <si>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</si>
  <si>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</si>
  <si>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</si>
  <si>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</si>
  <si>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</si>
  <si>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</si>
  <si>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</si>
  <si>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</si>
  <si>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</si>
  <si>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</si>
  <si>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</si>
  <si>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</si>
  <si>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</si>
  <si>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</si>
  <si>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</si>
  <si>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</si>
  <si>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</si>
  <si>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</si>
  <si>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</si>
  <si>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</si>
  <si>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</si>
  <si>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</si>
  <si>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</si>
  <si>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</si>
  <si>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</si>
  <si>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</si>
  <si>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</si>
  <si>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</si>
  <si>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</si>
  <si>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</si>
  <si>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</si>
  <si>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</si>
  <si>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</si>
  <si>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</si>
  <si>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</si>
  <si>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</si>
  <si>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</si>
  <si>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</si>
  <si>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</si>
  <si>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</si>
  <si>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</si>
  <si>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</si>
  <si>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</si>
  <si>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</si>
  <si>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</si>
  <si>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</si>
  <si>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</si>
  <si>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</si>
  <si>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</si>
  <si>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</si>
  <si>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</si>
  <si>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</si>
  <si>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</si>
  <si>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</si>
  <si>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 xml:space="preserve">The sum of car2 all values which is greater then 20 </t>
  </si>
  <si>
    <t>SUMIF(H1:H40, "&gt;20")</t>
  </si>
  <si>
    <t>I used here text to column functionality which is provided in data ribben</t>
  </si>
  <si>
    <t>Firstly I select all the text which I want to split and then I go to data ribben and use inbuild function text to column with delimeter is "-".</t>
  </si>
  <si>
    <t>SUM(IF(ISNA(C12:C21),20,C12:C21))</t>
  </si>
  <si>
    <t>use sum function with the if or isna funtion , Sum function helps to calculate the sum given all values and if function use performe the specific condition and isna ia use for detec the NA values so after detect the NA value I replace it to 20 and then calculate the sum</t>
  </si>
  <si>
    <t>Column1</t>
  </si>
  <si>
    <t>Name_1</t>
  </si>
  <si>
    <t>Name_2</t>
  </si>
  <si>
    <t>Values</t>
  </si>
  <si>
    <t>AnswerTable</t>
  </si>
  <si>
    <t>Using vlookup and match formulas for fetch the corresponding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</si>
</sst>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b/>
      <sz val="18"/>
      <color theme="1"/>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166" fontId="7" fillId="0" borderId="0" xfId="0" applyNumberFormat="1" applyFont="1"/>
    <xf numFmtId="166" fontId="3" fillId="0" borderId="0" xfId="0" applyNumberFormat="1" applyFont="1"/>
    <xf numFmtId="0" fontId="9" fillId="0" borderId="11" xfId="0" applyFont="1" applyBorder="1"/>
    <xf numFmtId="0" fontId="9" fillId="0" borderId="6" xfId="0" applyFont="1" applyBorder="1"/>
    <xf numFmtId="0" fontId="9" fillId="0" borderId="8" xfId="0" applyFont="1" applyBorder="1"/>
    <xf numFmtId="0" fontId="9" fillId="0" borderId="4" xfId="0" applyFont="1" applyBorder="1"/>
    <xf numFmtId="0" fontId="9" fillId="0" borderId="12" xfId="0" applyFont="1" applyBorder="1"/>
    <xf numFmtId="0" fontId="8" fillId="0" borderId="13" xfId="0" applyFont="1" applyBorder="1"/>
    <xf numFmtId="0" fontId="8" fillId="0" borderId="14" xfId="0" applyFont="1" applyBorder="1"/>
    <xf numFmtId="0" fontId="7" fillId="0" borderId="6" xfId="0" applyFont="1" applyBorder="1"/>
    <xf numFmtId="0" fontId="7" fillId="0" borderId="4" xfId="0" applyFont="1" applyBorder="1"/>
    <xf numFmtId="0" fontId="7" fillId="0" borderId="8" xfId="0" applyFont="1" applyBorder="1"/>
    <xf numFmtId="0" fontId="8" fillId="0" borderId="0" xfId="0" applyFont="1" applyAlignment="1">
      <alignment horizontal="center"/>
    </xf>
    <xf numFmtId="0" fontId="18" fillId="0" borderId="0" xfId="0" applyFont="1" applyAlignment="1">
      <alignment horizontal="center"/>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3">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numFmt numFmtId="0" formatCode="General"/>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rgb="FF000000"/>
        <name val="Calibri"/>
        <family val="2"/>
        <scheme val="minor"/>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top/>
        <bottom/>
        <vertical/>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family val="2"/>
        <scheme val="minor"/>
      </font>
    </dxf>
    <dxf>
      <border outline="0">
        <bottom style="thin">
          <color indexed="64"/>
        </bottom>
      </border>
    </dxf>
    <dxf>
      <font>
        <b/>
        <i val="0"/>
        <strike val="0"/>
        <condense val="0"/>
        <extend val="0"/>
        <outline val="0"/>
        <shadow val="0"/>
        <u val="none"/>
        <vertAlign val="baseline"/>
        <sz val="10"/>
        <color rgb="FF000000"/>
        <name val="Calibri"/>
        <family val="2"/>
        <scheme val="minor"/>
      </font>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0000"/>
        <name val="Calibri"/>
        <family val="2"/>
        <scheme val="minor"/>
      </font>
      <numFmt numFmtId="166" formatCode="[$-14009]yyyy/mm/dd;@"/>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numFmt numFmtId="164" formatCode="hh:mm:ss;@"/>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numFmt numFmtId="164" formatCode="hh:mm:ss;@"/>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i val="0"/>
        <strike val="0"/>
        <condense val="0"/>
        <extend val="0"/>
        <outline val="0"/>
        <shadow val="0"/>
        <u val="none"/>
        <vertAlign val="baseline"/>
        <sz val="11"/>
        <color rgb="FF000000"/>
        <name val="Calibri"/>
        <family val="2"/>
        <scheme val="minor"/>
      </font>
      <fill>
        <patternFill patternType="solid">
          <fgColor rgb="FF000000"/>
          <bgColor rgb="FFB1A0C7"/>
        </patternFill>
      </fill>
    </dxf>
    <dxf>
      <font>
        <color theme="0"/>
      </font>
      <fill>
        <patternFill>
          <bgColor theme="9" tint="-0.24994659260841701"/>
        </patternFill>
      </fill>
    </dxf>
    <dxf>
      <font>
        <color theme="0"/>
      </font>
      <fill>
        <patternFill>
          <bgColor rgb="FFC00000"/>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2"/>
      <tableStyleElement type="headerRow" dxfId="6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AD56D79-AAAC-47FC-A309-88005B400D29}" name="Table1" displayName="Table1" ref="A1:X40" totalsRowShown="0" headerRowDxfId="58" dataDxfId="57">
  <autoFilter ref="A1:X40" xr:uid="{7AD56D79-AAAC-47FC-A309-88005B400D29}"/>
  <tableColumns count="24">
    <tableColumn id="1" xr3:uid="{613969BB-3C84-4051-8453-8E5CE58AA173}" name="name" dataDxfId="56"/>
    <tableColumn id="2" xr3:uid="{CCC49DE1-FF6E-41F6-883B-3351F095555E}" name="ID" dataDxfId="55"/>
    <tableColumn id="3" xr3:uid="{80B0A61C-CD87-4D9E-ACDC-7D160C682AE7}" name="start_day" dataDxfId="54"/>
    <tableColumn id="4" xr3:uid="{CE070D8A-5D5F-49C7-B60E-7A0881951C0F}" name="start_time" dataDxfId="53"/>
    <tableColumn id="5" xr3:uid="{B1FAE4F0-A0D8-4B09-8E77-6063E6808435}" name="end_day" dataDxfId="52"/>
    <tableColumn id="6" xr3:uid="{B10BA46A-CA15-4FA7-B7F2-6A25B176236E}" name="end_time" dataDxfId="51"/>
    <tableColumn id="7" xr3:uid="{817FE493-CC2A-47C4-A2ED-4D6D58E8085C}" name="car1" dataDxfId="50"/>
    <tableColumn id="8" xr3:uid="{512D61B9-23FF-4A7D-AD08-FCB7D8170953}" name="car2" dataDxfId="49"/>
    <tableColumn id="9" xr3:uid="{7D9F296F-5887-463E-BA59-E6C610E19110}" name="car3" dataDxfId="48"/>
    <tableColumn id="10" xr3:uid="{A57B478C-E096-4C3A-8EEE-93EF2ECCA431}" name="moto1" dataDxfId="47"/>
    <tableColumn id="11" xr3:uid="{40156ABC-D126-4CAA-9889-D90AAB157C40}" name="moto2" dataDxfId="46"/>
    <tableColumn id="12" xr3:uid="{D59E3145-D75E-4518-8ABA-65FFC5BB0A88}" name="moto3" dataDxfId="45"/>
    <tableColumn id="13" xr3:uid="{0C1631F4-57D1-453E-B576-E8598C96ACCA}" name="bus1" dataDxfId="44"/>
    <tableColumn id="14" xr3:uid="{710B914C-CBDA-41AA-B58F-1A44FFBF920D}" name="bus2" dataDxfId="43"/>
    <tableColumn id="15" xr3:uid="{95F1B6D2-9EAF-462F-94E5-92B20768A520}" name="bus3" dataDxfId="42"/>
    <tableColumn id="16" xr3:uid="{3203AE2F-A613-4260-9CC0-97D96D9CBE5A}" name="rv1" dataDxfId="41"/>
    <tableColumn id="17" xr3:uid="{3D714BD5-3B71-40A0-91D8-037913EC2808}" name="rv2" dataDxfId="40"/>
    <tableColumn id="18" xr3:uid="{5249FDC3-BA82-4F7B-A98A-14D9E0B2E4DE}" name="rv3" dataDxfId="39"/>
    <tableColumn id="19" xr3:uid="{5E3A3102-C843-4BD3-8FFB-AFA28C9B30E5}" name="truck1" dataDxfId="38"/>
    <tableColumn id="20" xr3:uid="{9100B439-2E42-401F-84D9-F4D8B0C7ECA9}" name="truck2" dataDxfId="37"/>
    <tableColumn id="21" xr3:uid="{6505F361-AF68-450E-8B0B-7215AED55E18}" name="taxi1" dataDxfId="36"/>
    <tableColumn id="22" xr3:uid="{47FB85A5-24BA-4849-8018-4DD23F544E42}" name="taxi2" dataDxfId="35"/>
    <tableColumn id="23" xr3:uid="{69C05CC4-4506-44ED-9058-49FB50D4952D}" name="taxi3" dataDxfId="34"/>
    <tableColumn id="24" xr3:uid="{35E17FB1-AAB2-4AC5-A27D-43345D9C8CF6}" name="date"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ABAB82-0936-4461-B544-841581AA23C7}" name="Table2" displayName="Table2" ref="A9:J18" totalsRowShown="0" headerRowDxfId="30" dataDxfId="28" headerRowBorderDxfId="29" tableBorderDxfId="27" totalsRowBorderDxfId="26">
  <autoFilter ref="A9:J18" xr:uid="{91ABAB82-0936-4461-B544-841581AA23C7}"/>
  <tableColumns count="10">
    <tableColumn id="1" xr3:uid="{54ECAA81-FE1A-4542-8973-266B709E7BD8}" name="Name" dataDxfId="25"/>
    <tableColumn id="2" xr3:uid="{9ABE07BC-E3EB-49B1-B465-ED69F352CFE9}" name="A" dataDxfId="24"/>
    <tableColumn id="3" xr3:uid="{E38494EA-EFF7-4AE3-BD65-0B748A093474}" name="B" dataDxfId="23"/>
    <tableColumn id="4" xr3:uid="{38C5B5F8-0789-4962-8C3F-5AB2F01C6075}" name="C" dataDxfId="22"/>
    <tableColumn id="5" xr3:uid="{F24CE9B5-1D0A-40CE-8099-19D43E14F5C3}" name="D" dataDxfId="21"/>
    <tableColumn id="6" xr3:uid="{6197F214-57B6-4508-AA34-1369BFACEF76}" name="E" dataDxfId="20"/>
    <tableColumn id="7" xr3:uid="{17FD85FF-CC47-4FCE-8663-F8903A9EB608}" name="F" dataDxfId="19"/>
    <tableColumn id="8" xr3:uid="{1E3F7FAC-C038-4742-A4D7-41A82FDAFBF7}" name="G" dataDxfId="18"/>
    <tableColumn id="9" xr3:uid="{3E3B849E-DA9D-46A7-B7C0-FE527A380F2B}" name="H" dataDxfId="17"/>
    <tableColumn id="10" xr3:uid="{D7F097FF-CEB5-4C87-8BEE-94F0F808628F}" name="I" dataDxfId="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9A695C-4DC1-49A9-9909-A1999EB82C98}" name="Table3" displayName="Table3" ref="M9:O18" totalsRowShown="0" headerRowDxfId="15" headerRowBorderDxfId="14" tableBorderDxfId="13">
  <autoFilter ref="M9:O18" xr:uid="{A89A695C-4DC1-49A9-9909-A1999EB82C98}"/>
  <tableColumns count="3">
    <tableColumn id="1" xr3:uid="{FC3367CD-6243-44C2-BC74-AF07567E67D0}" name="ID" dataDxfId="12"/>
    <tableColumn id="2" xr3:uid="{38C2B874-E84F-4234-BE68-F18140BD5A3D}" name="Name" dataDxfId="11"/>
    <tableColumn id="3" xr3:uid="{A299C378-E63F-4EE0-8032-A056061DC8EE}" name="Column1" dataDxfId="6">
      <calculatedColumnFormula>VLOOKUP(Table3[[#This Row],[Name]],Table2[],2,FALSE)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116502F-0A0B-4F03-8750-645C62E60A00}" name="Table4" displayName="Table4" ref="A22:C35" totalsRowShown="0" headerRowBorderDxfId="10" tableBorderDxfId="9">
  <autoFilter ref="A22:C35" xr:uid="{D116502F-0A0B-4F03-8750-645C62E60A00}"/>
  <tableColumns count="3">
    <tableColumn id="1" xr3:uid="{D8075EEC-8720-40BD-A56F-3874C29443B6}" name="name_1" dataDxfId="8"/>
    <tableColumn id="2" xr3:uid="{03E88820-8E77-4A97-9EBB-AF37825A8403}" name="name_2" dataDxfId="7"/>
    <tableColumn id="3" xr3:uid="{9A0CF51A-0E46-43A5-90E5-0AAF40B48469}" name="value"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471CFBC-DCC3-4AFE-BA82-2F05F2A37EFC}" name="Table5" displayName="Table5" ref="H22:J35" totalsRowShown="0" headerRowDxfId="4" dataDxfId="3">
  <autoFilter ref="H22:J35" xr:uid="{6471CFBC-DCC3-4AFE-BA82-2F05F2A37EFC}"/>
  <tableColumns count="3">
    <tableColumn id="1" xr3:uid="{55BA6920-8A42-4436-B3F2-0E112629986E}" name="Name_1" dataDxfId="2">
      <calculatedColumnFormula>VLOOKUP(Table4[[#This Row],[name_1]],Table3[#All],2,FALSE)</calculatedColumnFormula>
    </tableColumn>
    <tableColumn id="2" xr3:uid="{C6F00D21-2EC2-4261-938A-4EA282EE804D}" name="Name_2" dataDxfId="1">
      <calculatedColumnFormula>VLOOKUP(Table4[[#This Row],[name_2]],Table3[#All],2,FALSE)</calculatedColumnFormula>
    </tableColumn>
    <tableColumn id="3" xr3:uid="{6A42690C-F071-461C-9E5A-1E8900F2CFF8}" name="Values" dataDxfId="0">
      <calculatedColumnFormula>VLOOKUP(H23,Table2[#All],MATCH(I23,Table2[#Headers],0),FALSE)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B15" sqref="B15"/>
    </sheetView>
  </sheetViews>
  <sheetFormatPr defaultColWidth="11" defaultRowHeight="13" x14ac:dyDescent="0.3"/>
  <cols>
    <col min="1" max="1" width="70.796875" style="2" bestFit="1" customWidth="1"/>
    <col min="2" max="16384" width="11" style="2"/>
  </cols>
  <sheetData>
    <row r="1" spans="1:3" ht="18.5" x14ac:dyDescent="0.45">
      <c r="A1" s="39"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6" t="s">
        <v>171</v>
      </c>
      <c r="B9" s="25" t="s">
        <v>169</v>
      </c>
    </row>
    <row r="10" spans="1:3" x14ac:dyDescent="0.3">
      <c r="A10" s="35" t="s">
        <v>172</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DF9CE-1D57-4948-80FC-0A504814B1C7}">
  <dimension ref="A1:X45"/>
  <sheetViews>
    <sheetView zoomScaleNormal="100" workbookViewId="0">
      <pane ySplit="1" topLeftCell="A14" activePane="bottomLeft" state="frozen"/>
      <selection pane="bottomLeft" activeCell="G2" sqref="G2"/>
    </sheetView>
  </sheetViews>
  <sheetFormatPr defaultColWidth="9" defaultRowHeight="14.5" x14ac:dyDescent="0.35"/>
  <cols>
    <col min="1" max="1" width="25.3984375" style="1" bestFit="1" customWidth="1"/>
    <col min="2" max="2" width="7.3984375" style="1" bestFit="1" customWidth="1"/>
    <col min="3" max="3" width="11.8984375" style="1" customWidth="1"/>
    <col min="4" max="4" width="12.796875" style="23" customWidth="1"/>
    <col min="5" max="5" width="11" style="1" customWidth="1"/>
    <col min="6" max="6" width="11.8984375" style="23"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5" bestFit="1" customWidth="1"/>
    <col min="25" max="16384" width="9" style="1"/>
  </cols>
  <sheetData>
    <row r="1" spans="1:24" s="3" customFormat="1" ht="14.75" customHeight="1" x14ac:dyDescent="0.35">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4" t="s">
        <v>105</v>
      </c>
    </row>
    <row r="2" spans="1:24" x14ac:dyDescent="0.3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3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35">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35">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row r="45" spans="1:24" x14ac:dyDescent="0.35">
      <c r="N45" s="1" t="s">
        <v>177</v>
      </c>
      <c r="O45" s="1">
        <f>SUMIF(H1:H40, "&gt;20")</f>
        <v>1473.0000000000002</v>
      </c>
    </row>
  </sheetData>
  <conditionalFormatting sqref="A1:C40 E1:X40">
    <cfRule type="cellIs" dxfId="60" priority="2" operator="equal">
      <formula>-1</formula>
    </cfRule>
    <cfRule type="cellIs" dxfId="59" priority="1" operator="equal">
      <formula>0</formula>
    </cfRule>
  </conditionalFormatting>
  <pageMargins left="0.75" right="0.75" top="1" bottom="1" header="0.5" footer="0.5"/>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zoomScaleNormal="100" workbookViewId="0"/>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1" bestFit="1" customWidth="1"/>
    <col min="25" max="16384" width="9" style="1"/>
  </cols>
  <sheetData>
    <row r="1" spans="1:24" s="3" customFormat="1" ht="14.75" customHeight="1" x14ac:dyDescent="0.35">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3" t="s">
        <v>105</v>
      </c>
    </row>
    <row r="2" spans="1:24" x14ac:dyDescent="0.3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6">
        <v>45051</v>
      </c>
    </row>
    <row r="3" spans="1:24" x14ac:dyDescent="0.3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6">
        <v>45048</v>
      </c>
    </row>
    <row r="4" spans="1:24" x14ac:dyDescent="0.3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6">
        <v>45055</v>
      </c>
    </row>
    <row r="5" spans="1:24"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6">
        <v>45059</v>
      </c>
    </row>
    <row r="6" spans="1:24"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6">
        <v>45076</v>
      </c>
    </row>
    <row r="7" spans="1:24"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6">
        <v>45057</v>
      </c>
    </row>
    <row r="8" spans="1:24"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6">
        <v>45052</v>
      </c>
    </row>
    <row r="9" spans="1:24"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6">
        <v>45098</v>
      </c>
    </row>
    <row r="10" spans="1:24"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6">
        <v>45092</v>
      </c>
    </row>
    <row r="11" spans="1:24"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6">
        <v>45104</v>
      </c>
    </row>
    <row r="12" spans="1:24"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6">
        <v>45116</v>
      </c>
    </row>
    <row r="13" spans="1:24"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6">
        <v>45110</v>
      </c>
    </row>
    <row r="14" spans="1:24"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6">
        <v>45095</v>
      </c>
    </row>
    <row r="15" spans="1:24"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6">
        <v>45113</v>
      </c>
    </row>
    <row r="16" spans="1:24"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6">
        <v>45063</v>
      </c>
    </row>
    <row r="17" spans="1:24"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6">
        <v>45071</v>
      </c>
    </row>
    <row r="18" spans="1:24"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6">
        <v>45085</v>
      </c>
    </row>
    <row r="19" spans="1:24"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6">
        <v>45099</v>
      </c>
    </row>
    <row r="20" spans="1:24"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6">
        <v>45091</v>
      </c>
    </row>
    <row r="21" spans="1:24"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6">
        <v>45079</v>
      </c>
    </row>
    <row r="22" spans="1:24"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6">
        <v>45075</v>
      </c>
    </row>
    <row r="23" spans="1:24"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6">
        <v>45110</v>
      </c>
    </row>
    <row r="24" spans="1:24"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6">
        <v>45114</v>
      </c>
    </row>
    <row r="25" spans="1:24"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6">
        <v>45118</v>
      </c>
    </row>
    <row r="26" spans="1:24"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6">
        <v>45142</v>
      </c>
    </row>
    <row r="27" spans="1:24" x14ac:dyDescent="0.35">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6">
        <v>45146</v>
      </c>
    </row>
    <row r="28" spans="1:24"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6">
        <v>45108</v>
      </c>
    </row>
    <row r="29" spans="1:24"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6">
        <v>45153</v>
      </c>
    </row>
    <row r="30" spans="1:24" x14ac:dyDescent="0.35">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6">
        <v>45150</v>
      </c>
    </row>
    <row r="31" spans="1:24"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6">
        <v>45157</v>
      </c>
    </row>
    <row r="32" spans="1:24"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6">
        <v>45143</v>
      </c>
    </row>
    <row r="33" spans="1:24"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6">
        <v>45166</v>
      </c>
    </row>
    <row r="34" spans="1:24"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6">
        <v>45162</v>
      </c>
    </row>
    <row r="35" spans="1:24"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6">
        <v>45160</v>
      </c>
    </row>
    <row r="36" spans="1:24"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6">
        <v>45179</v>
      </c>
    </row>
    <row r="37" spans="1:24"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6">
        <v>45157</v>
      </c>
    </row>
    <row r="38" spans="1:24"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6">
        <v>45143</v>
      </c>
    </row>
    <row r="39" spans="1:24"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6">
        <v>45166</v>
      </c>
    </row>
    <row r="40" spans="1:24"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6">
        <v>45162</v>
      </c>
    </row>
  </sheetData>
  <conditionalFormatting sqref="A1:A1048576">
    <cfRule type="duplicateValues" dxfId="32" priority="2"/>
  </conditionalFormatting>
  <conditionalFormatting sqref="B1:B1048576">
    <cfRule type="duplicateValues" dxfId="31" priority="1"/>
  </conditionalFormatting>
  <pageMargins left="0.75" right="0.75" top="1" bottom="1" header="0.5" footer="0.5"/>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176</v>
      </c>
    </row>
    <row r="2" spans="1:5" x14ac:dyDescent="0.35">
      <c r="A2" s="2"/>
      <c r="B2" s="5" t="s">
        <v>160</v>
      </c>
      <c r="C2" s="2"/>
    </row>
    <row r="3" spans="1:5" x14ac:dyDescent="0.35">
      <c r="A3" s="6">
        <v>1</v>
      </c>
      <c r="B3" s="2" t="s">
        <v>107</v>
      </c>
      <c r="C3" s="2" t="s">
        <v>45</v>
      </c>
      <c r="E3" s="1">
        <v>5</v>
      </c>
    </row>
    <row r="4" spans="1:5" x14ac:dyDescent="0.35">
      <c r="A4" s="6">
        <v>2</v>
      </c>
      <c r="B4" s="2" t="s">
        <v>46</v>
      </c>
      <c r="C4" s="2"/>
      <c r="E4" s="1">
        <v>5</v>
      </c>
    </row>
    <row r="5" spans="1:5" x14ac:dyDescent="0.35">
      <c r="A5" s="6">
        <v>3</v>
      </c>
      <c r="B5" s="2" t="s">
        <v>104</v>
      </c>
      <c r="C5" s="34" t="s">
        <v>178</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6" zoomScaleNormal="100" workbookViewId="0">
      <selection activeCell="D29" sqref="D29"/>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41" customFormat="1" ht="21" x14ac:dyDescent="0.5">
      <c r="A1" s="42" t="s">
        <v>55</v>
      </c>
      <c r="B1" s="41" t="s">
        <v>164</v>
      </c>
    </row>
    <row r="2" spans="1:7" s="41" customFormat="1" ht="21" x14ac:dyDescent="0.5">
      <c r="B2" s="41" t="s">
        <v>161</v>
      </c>
    </row>
    <row r="3" spans="1:7" ht="14.5" x14ac:dyDescent="0.35">
      <c r="A3" s="1"/>
      <c r="B3" s="1"/>
      <c r="C3" s="1"/>
      <c r="D3" s="1"/>
      <c r="E3" s="1"/>
      <c r="F3" s="1"/>
      <c r="G3" s="1"/>
    </row>
    <row r="4" spans="1:7" ht="23.5" x14ac:dyDescent="0.55000000000000004">
      <c r="A4" s="17" t="s">
        <v>162</v>
      </c>
      <c r="B4" s="1"/>
      <c r="C4" s="1"/>
      <c r="D4" s="1"/>
      <c r="E4" s="1"/>
      <c r="F4" s="1"/>
      <c r="G4" s="1"/>
    </row>
    <row r="5" spans="1:7" ht="14.5" x14ac:dyDescent="0.35">
      <c r="A5" s="19" t="s">
        <v>64</v>
      </c>
      <c r="B5" s="20" t="s">
        <v>79</v>
      </c>
      <c r="C5" s="21" t="s">
        <v>71</v>
      </c>
      <c r="D5" s="20" t="s">
        <v>75</v>
      </c>
      <c r="E5" s="21" t="s">
        <v>76</v>
      </c>
      <c r="F5" s="22" t="s">
        <v>77</v>
      </c>
    </row>
    <row r="6" spans="1:7" ht="14.5" x14ac:dyDescent="0.35">
      <c r="A6" s="7" t="s">
        <v>40</v>
      </c>
      <c r="B6" s="12">
        <f>VLOOKUP(Task_2!A6,Dataset_copy!A1:X40,7,FALSE)</f>
        <v>2.7</v>
      </c>
      <c r="C6" s="12">
        <f>VLOOKUP(Task_2!A6,Dataset_copy!A1:X40,14,FALSE)</f>
        <v>7.6</v>
      </c>
      <c r="D6" s="12">
        <f>VLOOKUP(Task_2!A6,Dataset_copy!A1:X40,18,FALSE)</f>
        <v>4.2</v>
      </c>
      <c r="E6" s="12">
        <f>VLOOKUP(Task_2!A6,Dataset_copy!A1:X40,20,FALSE)</f>
        <v>8.9</v>
      </c>
      <c r="F6" s="8">
        <f>VLOOKUP(Task_2!A6,Dataset_copy!A1:X40,22,FALSE)</f>
        <v>4.2</v>
      </c>
    </row>
    <row r="7" spans="1:7" ht="14.5" x14ac:dyDescent="0.35">
      <c r="A7" s="7" t="s">
        <v>4</v>
      </c>
      <c r="B7" s="12">
        <f>VLOOKUP(Task_2!A7,Dataset_copy!A2:X41,7,FALSE)</f>
        <v>2.7</v>
      </c>
      <c r="C7" s="12">
        <f>VLOOKUP(Task_2!A7,Dataset_copy!A2:X41,14,FALSE)</f>
        <v>7.6</v>
      </c>
      <c r="D7" s="12">
        <f>VLOOKUP(Task_2!A7,Dataset_copy!A2:X41,18,FALSE)</f>
        <v>4.2</v>
      </c>
      <c r="E7" s="12">
        <f>VLOOKUP(Task_2!A7,Dataset_copy!A2:X41,20,FALSE)</f>
        <v>8.9</v>
      </c>
      <c r="F7" s="8">
        <f>VLOOKUP(Task_2!A7,Dataset_copy!A2:X41,22,FALSE)</f>
        <v>4.2</v>
      </c>
    </row>
    <row r="8" spans="1:7" ht="14.5" x14ac:dyDescent="0.35">
      <c r="A8" s="7" t="s">
        <v>7</v>
      </c>
      <c r="B8" s="12">
        <f>VLOOKUP(Task_2!A8,Dataset_copy!A3:X42,7,FALSE)</f>
        <v>3.6</v>
      </c>
      <c r="C8" s="12">
        <f>VLOOKUP(Task_2!A8,Dataset_copy!A3:X42,14,FALSE)</f>
        <v>11.1</v>
      </c>
      <c r="D8" s="12">
        <f>VLOOKUP(Task_2!A8,Dataset_copy!A3:X42,18,FALSE)</f>
        <v>5.8</v>
      </c>
      <c r="E8" s="12">
        <f>VLOOKUP(Task_2!A8,Dataset_copy!A3:X42,20,FALSE)</f>
        <v>12.2</v>
      </c>
      <c r="F8" s="8">
        <f>VLOOKUP(Task_2!A8,Dataset_copy!A3:X42,22,FALSE)</f>
        <v>5.8</v>
      </c>
    </row>
    <row r="9" spans="1:7" ht="14.5" x14ac:dyDescent="0.35">
      <c r="A9" s="7" t="s">
        <v>8</v>
      </c>
      <c r="B9" s="12">
        <f>VLOOKUP(Task_2!A9,Dataset_copy!A4:X43,7,FALSE)</f>
        <v>4.9000000000000004</v>
      </c>
      <c r="C9" s="12">
        <f>VLOOKUP(Task_2!A9,Dataset_copy!A4:X43,14,FALSE)</f>
        <v>13.3</v>
      </c>
      <c r="D9" s="12">
        <f>VLOOKUP(Task_2!A9,Dataset_copy!A4:X43,18,FALSE)</f>
        <v>8.1</v>
      </c>
      <c r="E9" s="12">
        <f>VLOOKUP(Task_2!A9,Dataset_copy!A4:X43,20,FALSE)</f>
        <v>17</v>
      </c>
      <c r="F9" s="8">
        <f>VLOOKUP(Task_2!A9,Dataset_copy!A4:X43,22,FALSE)</f>
        <v>8.1</v>
      </c>
    </row>
    <row r="10" spans="1:7" ht="14.5" x14ac:dyDescent="0.35">
      <c r="A10" s="7" t="s">
        <v>11</v>
      </c>
      <c r="B10" s="12">
        <f>VLOOKUP(Task_2!A10,Dataset_copy!A5:X44,7,FALSE)</f>
        <v>9.4</v>
      </c>
      <c r="C10" s="12">
        <f>VLOOKUP(Task_2!A10,Dataset_copy!A5:X44,14,FALSE)</f>
        <v>28.3</v>
      </c>
      <c r="D10" s="12">
        <f>VLOOKUP(Task_2!A10,Dataset_copy!A5:X44,18,FALSE)</f>
        <v>16.100000000000001</v>
      </c>
      <c r="E10" s="12">
        <f>VLOOKUP(Task_2!A10,Dataset_copy!A5:X44,20,FALSE)</f>
        <v>32.799999999999997</v>
      </c>
      <c r="F10" s="8">
        <f>VLOOKUP(Task_2!A10,Dataset_copy!A5:X44,22,FALSE)</f>
        <v>16.100000000000001</v>
      </c>
    </row>
    <row r="11" spans="1:7" ht="14.5" x14ac:dyDescent="0.35">
      <c r="A11" s="7" t="s">
        <v>12</v>
      </c>
      <c r="B11" s="12">
        <f>VLOOKUP(Task_2!A11,Dataset_copy!A6:X45,7,FALSE)</f>
        <v>11.6</v>
      </c>
      <c r="C11" s="12">
        <f>VLOOKUP(Task_2!A11,Dataset_copy!A6:X45,14,FALSE)</f>
        <v>35.200000000000003</v>
      </c>
      <c r="D11" s="12">
        <f>VLOOKUP(Task_2!A11,Dataset_copy!A6:X45,18,FALSE)</f>
        <v>21.3</v>
      </c>
      <c r="E11" s="12">
        <f>VLOOKUP(Task_2!A11,Dataset_copy!A6:X45,20,FALSE)</f>
        <v>43</v>
      </c>
      <c r="F11" s="8">
        <f>VLOOKUP(Task_2!A11,Dataset_copy!A6:X45,22,FALSE)</f>
        <v>21.3</v>
      </c>
    </row>
    <row r="12" spans="1:7" ht="14.5" x14ac:dyDescent="0.35">
      <c r="A12" s="7" t="s">
        <v>14</v>
      </c>
      <c r="B12" s="12">
        <f>VLOOKUP(Task_2!A12,Dataset_copy!A7:X46,7,FALSE)</f>
        <v>18.399999999999999</v>
      </c>
      <c r="C12" s="12">
        <f>VLOOKUP(Task_2!A12,Dataset_copy!A7:X46,14,FALSE)</f>
        <v>55.6</v>
      </c>
      <c r="D12" s="12">
        <f>VLOOKUP(Task_2!A12,Dataset_copy!A7:X46,18,FALSE)</f>
        <v>33.799999999999997</v>
      </c>
      <c r="E12" s="12">
        <f>VLOOKUP(Task_2!A12,Dataset_copy!A7:X46,20,FALSE)</f>
        <v>67.900000000000006</v>
      </c>
      <c r="F12" s="8">
        <f>VLOOKUP(Task_2!A12,Dataset_copy!A7:X46,22,FALSE)</f>
        <v>33.799999999999997</v>
      </c>
    </row>
    <row r="13" spans="1:7" ht="14.5" x14ac:dyDescent="0.35">
      <c r="A13" s="7" t="s">
        <v>15</v>
      </c>
      <c r="B13" s="12">
        <f>VLOOKUP(Task_2!A13,Dataset_copy!A8:X47,7,FALSE)</f>
        <v>0</v>
      </c>
      <c r="C13" s="12">
        <f>VLOOKUP(Task_2!A13,Dataset_copy!A8:X47,14,FALSE)</f>
        <v>0</v>
      </c>
      <c r="D13" s="12">
        <f>VLOOKUP(Task_2!A13,Dataset_copy!A8:X47,18,FALSE)</f>
        <v>0</v>
      </c>
      <c r="E13" s="12">
        <f>VLOOKUP(Task_2!A13,Dataset_copy!A8:X47,20,FALSE)</f>
        <v>0</v>
      </c>
      <c r="F13" s="8">
        <f>VLOOKUP(Task_2!A13,Dataset_copy!A8:X47,22,FALSE)</f>
        <v>0</v>
      </c>
    </row>
    <row r="14" spans="1:7" ht="14.5" x14ac:dyDescent="0.35">
      <c r="A14" s="7" t="s">
        <v>16</v>
      </c>
      <c r="B14" s="12">
        <f>VLOOKUP(Task_2!A14,Dataset_copy!A9:X48,7,FALSE)</f>
        <v>21.9</v>
      </c>
      <c r="C14" s="12">
        <f>VLOOKUP(Task_2!A14,Dataset_copy!A9:X48,14,FALSE)</f>
        <v>61.5</v>
      </c>
      <c r="D14" s="12">
        <f>VLOOKUP(Task_2!A14,Dataset_copy!A9:X48,18,FALSE)</f>
        <v>40.1</v>
      </c>
      <c r="E14" s="12">
        <f>VLOOKUP(Task_2!A14,Dataset_copy!A9:X48,20,FALSE)</f>
        <v>76.599999999999994</v>
      </c>
      <c r="F14" s="8">
        <f>VLOOKUP(Task_2!A14,Dataset_copy!A9:X48,22,FALSE)</f>
        <v>40.1</v>
      </c>
    </row>
    <row r="15" spans="1:7" ht="14.5" x14ac:dyDescent="0.35">
      <c r="A15" s="7" t="s">
        <v>18</v>
      </c>
      <c r="B15" s="12">
        <f>VLOOKUP(Task_2!A15,Dataset_copy!A10:X49,7,FALSE)</f>
        <v>26.8</v>
      </c>
      <c r="C15" s="12">
        <f>VLOOKUP(Task_2!A15,Dataset_copy!A10:X49,14,FALSE)</f>
        <v>79.599999999999994</v>
      </c>
      <c r="D15" s="12">
        <f>VLOOKUP(Task_2!A15,Dataset_copy!A10:X49,18,FALSE)</f>
        <v>47.9</v>
      </c>
      <c r="E15" s="12">
        <f>VLOOKUP(Task_2!A15,Dataset_copy!A10:X49,20,FALSE)</f>
        <v>96.8</v>
      </c>
      <c r="F15" s="8">
        <f>VLOOKUP(Task_2!A15,Dataset_copy!A10:X49,22,FALSE)</f>
        <v>47.9</v>
      </c>
    </row>
    <row r="16" spans="1:7" ht="14.5" x14ac:dyDescent="0.35">
      <c r="A16" s="7" t="s">
        <v>20</v>
      </c>
      <c r="B16" s="12">
        <f>VLOOKUP(Task_2!A16,Dataset_copy!A11:X50,7,FALSE)</f>
        <v>28.5</v>
      </c>
      <c r="C16" s="12">
        <f>VLOOKUP(Task_2!A16,Dataset_copy!A11:X50,14,FALSE)</f>
        <v>85.4</v>
      </c>
      <c r="D16" s="12">
        <f>VLOOKUP(Task_2!A16,Dataset_copy!A11:X50,18,FALSE)</f>
        <v>52.3</v>
      </c>
      <c r="E16" s="12">
        <f>VLOOKUP(Task_2!A16,Dataset_copy!A11:X50,20,FALSE)</f>
        <v>106.1</v>
      </c>
      <c r="F16" s="8">
        <f>VLOOKUP(Task_2!A16,Dataset_copy!A11:X50,22,FALSE)</f>
        <v>52.3</v>
      </c>
    </row>
    <row r="17" spans="1:6" ht="14.5" x14ac:dyDescent="0.35">
      <c r="A17" s="7" t="s">
        <v>22</v>
      </c>
      <c r="B17" s="12">
        <f>VLOOKUP(Task_2!A17,Dataset_copy!A12:X51,7,FALSE)</f>
        <v>30.7</v>
      </c>
      <c r="C17" s="12">
        <f>VLOOKUP(Task_2!A17,Dataset_copy!A12:X51,14,FALSE)</f>
        <v>92.1</v>
      </c>
      <c r="D17" s="12">
        <f>VLOOKUP(Task_2!A17,Dataset_copy!A12:X51,18,FALSE)</f>
        <v>57</v>
      </c>
      <c r="E17" s="12">
        <f>VLOOKUP(Task_2!A17,Dataset_copy!A12:X51,20,FALSE)</f>
        <v>115.1</v>
      </c>
      <c r="F17" s="8">
        <f>VLOOKUP(Task_2!A17,Dataset_copy!A12:X51,22,FALSE)</f>
        <v>57</v>
      </c>
    </row>
    <row r="18" spans="1:6" ht="14.5" x14ac:dyDescent="0.35">
      <c r="A18" s="7" t="s">
        <v>23</v>
      </c>
      <c r="B18" s="12">
        <f>VLOOKUP(Task_2!A18,Dataset_copy!A13:X52,7,FALSE)</f>
        <v>33.799999999999997</v>
      </c>
      <c r="C18" s="12">
        <f>VLOOKUP(Task_2!A18,Dataset_copy!A13:X52,14,FALSE)</f>
        <v>101.3</v>
      </c>
      <c r="D18" s="12">
        <f>VLOOKUP(Task_2!A18,Dataset_copy!A13:X52,18,FALSE)</f>
        <v>61.4</v>
      </c>
      <c r="E18" s="12">
        <f>VLOOKUP(Task_2!A18,Dataset_copy!A13:X52,20,FALSE)</f>
        <v>124.4</v>
      </c>
      <c r="F18" s="8">
        <f>VLOOKUP(Task_2!A18,Dataset_copy!A13:X52,22,FALSE)</f>
        <v>61.4</v>
      </c>
    </row>
    <row r="19" spans="1:6" ht="14.5" x14ac:dyDescent="0.35">
      <c r="A19" s="7" t="s">
        <v>24</v>
      </c>
      <c r="B19" s="12">
        <f>VLOOKUP(Task_2!A19,Dataset_copy!A14:X53,7,FALSE)</f>
        <v>34.700000000000003</v>
      </c>
      <c r="C19" s="12">
        <f>VLOOKUP(Task_2!A19,Dataset_copy!A14:X53,14,FALSE)</f>
        <v>106.1</v>
      </c>
      <c r="D19" s="12">
        <f>VLOOKUP(Task_2!A19,Dataset_copy!A14:X53,18,FALSE)</f>
        <v>63.6</v>
      </c>
      <c r="E19" s="12">
        <f>VLOOKUP(Task_2!A19,Dataset_copy!A14:X53,20,FALSE)</f>
        <v>128.6</v>
      </c>
      <c r="F19" s="8">
        <f>VLOOKUP(Task_2!A19,Dataset_copy!A14:X53,22,FALSE)</f>
        <v>63.6</v>
      </c>
    </row>
    <row r="20" spans="1:6" ht="14.5" x14ac:dyDescent="0.35">
      <c r="A20" s="7" t="s">
        <v>28</v>
      </c>
      <c r="B20" s="12">
        <f>VLOOKUP(Task_2!A20,Dataset_copy!A15:X54,7,FALSE)</f>
        <v>0</v>
      </c>
      <c r="C20" s="12">
        <f>VLOOKUP(Task_2!A20,Dataset_copy!A15:X54,14,FALSE)</f>
        <v>0</v>
      </c>
      <c r="D20" s="12">
        <f>VLOOKUP(Task_2!A20,Dataset_copy!A15:X54,18,FALSE)</f>
        <v>0</v>
      </c>
      <c r="E20" s="12">
        <f>VLOOKUP(Task_2!A20,Dataset_copy!A15:X54,20,FALSE)</f>
        <v>0</v>
      </c>
      <c r="F20" s="8">
        <f>VLOOKUP(Task_2!A20,Dataset_copy!A15:X54,22,FALSE)</f>
        <v>0</v>
      </c>
    </row>
    <row r="21" spans="1:6" ht="14.5" x14ac:dyDescent="0.35">
      <c r="A21" s="7" t="s">
        <v>57</v>
      </c>
      <c r="B21" s="12">
        <f>VLOOKUP(Task_2!A21,Dataset_copy!A16:X55,7,FALSE)</f>
        <v>41.3</v>
      </c>
      <c r="C21" s="12">
        <f>VLOOKUP(Task_2!A21,Dataset_copy!A16:X55,14,FALSE)</f>
        <v>124.4</v>
      </c>
      <c r="D21" s="12">
        <f>VLOOKUP(Task_2!A21,Dataset_copy!A16:X55,18,FALSE)</f>
        <v>75</v>
      </c>
      <c r="E21" s="12">
        <f>VLOOKUP(Task_2!A21,Dataset_copy!A16:X55,20,FALSE)</f>
        <v>151.5</v>
      </c>
      <c r="F21" s="8">
        <f>VLOOKUP(Task_2!A21,Dataset_copy!A16:X55,22,FALSE)</f>
        <v>75</v>
      </c>
    </row>
    <row r="22" spans="1:6" ht="14.5" x14ac:dyDescent="0.35">
      <c r="A22" s="7" t="s">
        <v>58</v>
      </c>
      <c r="B22" s="12">
        <f>VLOOKUP(Task_2!A22,Dataset_copy!A17:X56,7,FALSE)</f>
        <v>-1</v>
      </c>
      <c r="C22" s="12">
        <f>VLOOKUP(Task_2!A22,Dataset_copy!A17:X56,14,FALSE)</f>
        <v>-1</v>
      </c>
      <c r="D22" s="12">
        <f>VLOOKUP(Task_2!A22,Dataset_copy!A17:X56,18,FALSE)</f>
        <v>-1</v>
      </c>
      <c r="E22" s="12">
        <f>VLOOKUP(Task_2!A22,Dataset_copy!A17:X56,20,FALSE)</f>
        <v>-1</v>
      </c>
      <c r="F22" s="8">
        <f>VLOOKUP(Task_2!A22,Dataset_copy!A17:X56,22,FALSE)</f>
        <v>-1</v>
      </c>
    </row>
    <row r="23" spans="1:6" ht="14.5" x14ac:dyDescent="0.35">
      <c r="A23" s="7" t="s">
        <v>31</v>
      </c>
      <c r="B23" s="12">
        <f>VLOOKUP(Task_2!A23,Dataset_copy!A18:X57,7,FALSE)</f>
        <v>45</v>
      </c>
      <c r="C23" s="12">
        <f>VLOOKUP(Task_2!A23,Dataset_copy!A18:X57,14,FALSE)</f>
        <v>133.4</v>
      </c>
      <c r="D23" s="12">
        <f>VLOOKUP(Task_2!A23,Dataset_copy!A18:X57,18,FALSE)</f>
        <v>79.400000000000006</v>
      </c>
      <c r="E23" s="12">
        <f>VLOOKUP(Task_2!A23,Dataset_copy!A18:X57,20,FALSE)</f>
        <v>160.9</v>
      </c>
      <c r="F23" s="8">
        <f>VLOOKUP(Task_2!A23,Dataset_copy!A18:X57,22,FALSE)</f>
        <v>79.400000000000006</v>
      </c>
    </row>
    <row r="24" spans="1:6" ht="14.5" x14ac:dyDescent="0.35">
      <c r="A24" s="7" t="s">
        <v>32</v>
      </c>
      <c r="B24" s="12">
        <f>VLOOKUP(Task_2!A24,Dataset_copy!A19:X58,7,FALSE)</f>
        <v>-1</v>
      </c>
      <c r="C24" s="12">
        <f>VLOOKUP(Task_2!A24,Dataset_copy!A19:X58,14,FALSE)</f>
        <v>-1</v>
      </c>
      <c r="D24" s="12">
        <f>VLOOKUP(Task_2!A24,Dataset_copy!A19:X58,18,FALSE)</f>
        <v>-1</v>
      </c>
      <c r="E24" s="12">
        <f>VLOOKUP(Task_2!A24,Dataset_copy!A19:X58,20,FALSE)</f>
        <v>-1</v>
      </c>
      <c r="F24" s="8">
        <f>VLOOKUP(Task_2!A24,Dataset_copy!A19:X58,22,FALSE)</f>
        <v>-1</v>
      </c>
    </row>
    <row r="25" spans="1:6" ht="14.5" x14ac:dyDescent="0.35">
      <c r="A25" s="7" t="s">
        <v>34</v>
      </c>
      <c r="B25" s="12">
        <f>VLOOKUP(Task_2!A25,Dataset_copy!A20:X59,7,FALSE)</f>
        <v>43.3</v>
      </c>
      <c r="C25" s="12">
        <f>VLOOKUP(Task_2!A25,Dataset_copy!A20:X59,14,FALSE)</f>
        <v>128.6</v>
      </c>
      <c r="D25" s="12">
        <f>VLOOKUP(Task_2!A25,Dataset_copy!A20:X59,18,FALSE)</f>
        <v>79.400000000000006</v>
      </c>
      <c r="E25" s="12">
        <f>VLOOKUP(Task_2!A25,Dataset_copy!A20:X59,20,FALSE)</f>
        <v>160.9</v>
      </c>
      <c r="F25" s="8">
        <f>VLOOKUP(Task_2!A25,Dataset_copy!A20:X59,22,FALSE)</f>
        <v>79.400000000000006</v>
      </c>
    </row>
    <row r="26" spans="1:6" ht="14.5" x14ac:dyDescent="0.35">
      <c r="A26" s="7" t="s">
        <v>37</v>
      </c>
      <c r="B26" s="12">
        <f>VLOOKUP(Task_2!A26,Dataset_copy!A21:X60,7,FALSE)</f>
        <v>49.1</v>
      </c>
      <c r="C26" s="12">
        <f>VLOOKUP(Task_2!A26,Dataset_copy!A21:X60,14,FALSE)</f>
        <v>146.80000000000001</v>
      </c>
      <c r="D26" s="12">
        <f>VLOOKUP(Task_2!A26,Dataset_copy!A21:X60,18,FALSE)</f>
        <v>90.9</v>
      </c>
      <c r="E26" s="12">
        <f>VLOOKUP(Task_2!A26,Dataset_copy!A21:X60,20,FALSE)</f>
        <v>183.5</v>
      </c>
      <c r="F26" s="8">
        <f>VLOOKUP(Task_2!A26,Dataset_copy!A21:X60,22,FALSE)</f>
        <v>90.9</v>
      </c>
    </row>
    <row r="27" spans="1:6" ht="14.5" x14ac:dyDescent="0.35">
      <c r="A27" s="7" t="s">
        <v>39</v>
      </c>
      <c r="B27" s="12">
        <f>VLOOKUP(Task_2!A27,Dataset_copy!A22:X61,7,FALSE)</f>
        <v>51.8</v>
      </c>
      <c r="C27" s="12">
        <f>VLOOKUP(Task_2!A27,Dataset_copy!A22:X61,14,FALSE)</f>
        <v>156.4</v>
      </c>
      <c r="D27" s="12">
        <f>VLOOKUP(Task_2!A27,Dataset_copy!A22:X61,18,FALSE)</f>
        <v>93.1</v>
      </c>
      <c r="E27" s="12">
        <f>VLOOKUP(Task_2!A27,Dataset_copy!A22:X61,20,FALSE)</f>
        <v>188.1</v>
      </c>
      <c r="F27" s="8">
        <f>VLOOKUP(Task_2!A27,Dataset_copy!A22:X61,22,FALSE)</f>
        <v>93.1</v>
      </c>
    </row>
    <row r="28" spans="1:6" ht="14.5" x14ac:dyDescent="0.35">
      <c r="A28" s="18" t="s">
        <v>82</v>
      </c>
      <c r="B28" s="31">
        <f>MIN(B6:B27)</f>
        <v>-1</v>
      </c>
      <c r="C28" s="31">
        <f t="shared" ref="C28:F28" si="0">MIN(C6:C27)</f>
        <v>-1</v>
      </c>
      <c r="D28" s="31">
        <f t="shared" si="0"/>
        <v>-1</v>
      </c>
      <c r="E28" s="31">
        <f t="shared" si="0"/>
        <v>-1</v>
      </c>
      <c r="F28" s="31">
        <f t="shared" si="0"/>
        <v>-1</v>
      </c>
    </row>
    <row r="29" spans="1:6" ht="14.5" x14ac:dyDescent="0.35">
      <c r="A29" s="18" t="s">
        <v>83</v>
      </c>
      <c r="B29" s="31">
        <f>MAX(B6:B27)</f>
        <v>51.8</v>
      </c>
      <c r="C29" s="31">
        <f>MAX(C6:C27)</f>
        <v>156.4</v>
      </c>
      <c r="D29" s="31">
        <f t="shared" ref="D29:F29" si="1">MAX(D6:D27)</f>
        <v>93.1</v>
      </c>
      <c r="E29" s="31">
        <f t="shared" si="1"/>
        <v>188.1</v>
      </c>
      <c r="F29" s="31">
        <f t="shared" si="1"/>
        <v>93.1</v>
      </c>
    </row>
    <row r="30" spans="1:6" ht="14.5" x14ac:dyDescent="0.35">
      <c r="A30" s="18" t="s">
        <v>84</v>
      </c>
      <c r="B30" s="31">
        <f>AVERAGE(B6:B27)</f>
        <v>20.827272727272728</v>
      </c>
      <c r="C30" s="31">
        <f t="shared" ref="C30:F30" si="2">AVERAGE(C6:C27)</f>
        <v>62.377272727272725</v>
      </c>
      <c r="D30" s="31">
        <f t="shared" si="2"/>
        <v>37.800000000000004</v>
      </c>
      <c r="E30" s="31">
        <f t="shared" si="2"/>
        <v>76.418181818181822</v>
      </c>
      <c r="F30" s="31">
        <f t="shared" si="2"/>
        <v>37.800000000000004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41" zoomScaleNormal="100" workbookViewId="0">
      <selection activeCell="D8" sqref="D8"/>
    </sheetView>
  </sheetViews>
  <sheetFormatPr defaultColWidth="11" defaultRowHeight="14.5" x14ac:dyDescent="0.35"/>
  <cols>
    <col min="1" max="1" width="39.796875" style="1" bestFit="1" customWidth="1"/>
    <col min="2" max="16384" width="11" style="1"/>
  </cols>
  <sheetData>
    <row r="1" spans="1:10" s="41" customFormat="1" ht="21" x14ac:dyDescent="0.5">
      <c r="A1" s="42" t="s">
        <v>56</v>
      </c>
      <c r="B1" s="41" t="s">
        <v>174</v>
      </c>
    </row>
    <row r="2" spans="1:10" customFormat="1" ht="13" x14ac:dyDescent="0.3"/>
    <row r="3" spans="1:10" s="2" customFormat="1" x14ac:dyDescent="0.35">
      <c r="B3" s="1"/>
    </row>
    <row r="4" spans="1:10" s="2" customFormat="1" x14ac:dyDescent="0.35">
      <c r="B4" s="1" t="s">
        <v>151</v>
      </c>
    </row>
    <row r="5" spans="1:10" ht="18.5" x14ac:dyDescent="0.45">
      <c r="A5" s="43" t="s">
        <v>53</v>
      </c>
      <c r="B5" s="40" t="s">
        <v>179</v>
      </c>
    </row>
    <row r="6" spans="1:10" ht="18.5" x14ac:dyDescent="0.45">
      <c r="A6" s="43" t="s">
        <v>153</v>
      </c>
      <c r="B6" s="40" t="s">
        <v>180</v>
      </c>
    </row>
    <row r="7" spans="1:10" ht="18.5" x14ac:dyDescent="0.45">
      <c r="A7" s="43"/>
      <c r="B7" s="40"/>
    </row>
    <row r="9" spans="1:10" ht="23.5" x14ac:dyDescent="0.55000000000000004">
      <c r="A9" s="17" t="s">
        <v>165</v>
      </c>
      <c r="I9" s="2"/>
      <c r="J9" s="2"/>
    </row>
    <row r="10" spans="1:10" x14ac:dyDescent="0.35">
      <c r="A10" s="33" t="s">
        <v>102</v>
      </c>
      <c r="B10" s="16" t="s">
        <v>49</v>
      </c>
      <c r="C10" s="16" t="s">
        <v>50</v>
      </c>
      <c r="D10" s="16" t="s">
        <v>51</v>
      </c>
      <c r="E10" s="16" t="s">
        <v>52</v>
      </c>
      <c r="F10" s="16" t="s">
        <v>54</v>
      </c>
      <c r="I10" s="2"/>
      <c r="J10" s="2"/>
    </row>
    <row r="11" spans="1:10" x14ac:dyDescent="0.35">
      <c r="A11" s="9" t="s">
        <v>121</v>
      </c>
      <c r="B11" s="13">
        <v>20000</v>
      </c>
      <c r="C11" s="13" t="s">
        <v>5</v>
      </c>
      <c r="D11" s="13">
        <v>0</v>
      </c>
      <c r="E11" s="11" t="s">
        <v>6</v>
      </c>
      <c r="F11" s="11">
        <v>24</v>
      </c>
      <c r="I11" s="2"/>
      <c r="J11" s="2"/>
    </row>
    <row r="14" spans="1:10" ht="23.5" x14ac:dyDescent="0.55000000000000004">
      <c r="A14" s="17" t="s">
        <v>162</v>
      </c>
    </row>
    <row r="15" spans="1:10" x14ac:dyDescent="0.35">
      <c r="A15" s="14" t="s">
        <v>103</v>
      </c>
      <c r="B15" s="16" t="s">
        <v>49</v>
      </c>
      <c r="C15" s="15" t="s">
        <v>50</v>
      </c>
      <c r="D15" s="16" t="s">
        <v>51</v>
      </c>
      <c r="E15" s="15" t="s">
        <v>52</v>
      </c>
      <c r="F15" s="16" t="s">
        <v>54</v>
      </c>
    </row>
    <row r="16" spans="1:10" x14ac:dyDescent="0.35">
      <c r="A16" s="7" t="s">
        <v>121</v>
      </c>
      <c r="B16" s="12">
        <v>20000</v>
      </c>
      <c r="C16" s="1" t="s">
        <v>5</v>
      </c>
      <c r="D16" s="12">
        <v>0</v>
      </c>
      <c r="E16" s="1" t="s">
        <v>6</v>
      </c>
      <c r="F16" s="12">
        <v>24</v>
      </c>
    </row>
    <row r="17" spans="1:6" x14ac:dyDescent="0.35">
      <c r="A17" s="7" t="s">
        <v>122</v>
      </c>
      <c r="B17" s="12">
        <v>20002</v>
      </c>
      <c r="C17" s="1" t="s">
        <v>5</v>
      </c>
      <c r="D17" s="12">
        <v>0</v>
      </c>
      <c r="E17" s="1" t="s">
        <v>6</v>
      </c>
      <c r="F17" s="12">
        <v>24</v>
      </c>
    </row>
    <row r="18" spans="1:6" x14ac:dyDescent="0.35">
      <c r="A18" s="7" t="s">
        <v>123</v>
      </c>
      <c r="B18" s="12">
        <v>20004</v>
      </c>
      <c r="C18" s="1" t="s">
        <v>5</v>
      </c>
      <c r="D18" s="12">
        <v>0</v>
      </c>
      <c r="E18" s="1" t="s">
        <v>6</v>
      </c>
      <c r="F18" s="12">
        <v>24</v>
      </c>
    </row>
    <row r="19" spans="1:6" x14ac:dyDescent="0.35">
      <c r="A19" s="7" t="s">
        <v>124</v>
      </c>
      <c r="B19" s="12">
        <v>20006</v>
      </c>
      <c r="C19" s="1" t="s">
        <v>5</v>
      </c>
      <c r="D19" s="12">
        <v>0</v>
      </c>
      <c r="E19" s="1" t="s">
        <v>6</v>
      </c>
      <c r="F19" s="12">
        <v>24</v>
      </c>
    </row>
    <row r="20" spans="1:6" x14ac:dyDescent="0.35">
      <c r="A20" s="7" t="s">
        <v>125</v>
      </c>
      <c r="B20" s="12">
        <v>20008</v>
      </c>
      <c r="C20" s="1" t="s">
        <v>5</v>
      </c>
      <c r="D20" s="12">
        <v>0</v>
      </c>
      <c r="E20" s="1" t="s">
        <v>6</v>
      </c>
      <c r="F20" s="12">
        <v>24</v>
      </c>
    </row>
    <row r="21" spans="1:6" x14ac:dyDescent="0.35">
      <c r="A21" s="7" t="s">
        <v>126</v>
      </c>
      <c r="B21" s="12">
        <v>20010</v>
      </c>
      <c r="C21" s="1" t="s">
        <v>5</v>
      </c>
      <c r="D21" s="12">
        <v>0</v>
      </c>
      <c r="E21" s="1" t="s">
        <v>6</v>
      </c>
      <c r="F21" s="12">
        <v>24</v>
      </c>
    </row>
    <row r="22" spans="1:6" x14ac:dyDescent="0.35">
      <c r="A22" s="7" t="s">
        <v>127</v>
      </c>
      <c r="B22" s="12">
        <v>20012</v>
      </c>
      <c r="C22" s="1" t="s">
        <v>5</v>
      </c>
      <c r="D22" s="12">
        <v>0</v>
      </c>
      <c r="E22" s="1" t="s">
        <v>6</v>
      </c>
      <c r="F22" s="12">
        <v>24</v>
      </c>
    </row>
    <row r="23" spans="1:6" x14ac:dyDescent="0.35">
      <c r="A23" s="7" t="s">
        <v>128</v>
      </c>
      <c r="B23" s="12">
        <v>20014</v>
      </c>
      <c r="C23" s="1" t="s">
        <v>5</v>
      </c>
      <c r="D23" s="12">
        <v>0</v>
      </c>
      <c r="E23" s="1" t="s">
        <v>6</v>
      </c>
      <c r="F23" s="12">
        <v>24</v>
      </c>
    </row>
    <row r="24" spans="1:6" x14ac:dyDescent="0.35">
      <c r="A24" s="7" t="s">
        <v>129</v>
      </c>
      <c r="B24" s="12">
        <v>20016</v>
      </c>
      <c r="C24" s="1" t="s">
        <v>5</v>
      </c>
      <c r="D24" s="12">
        <v>0</v>
      </c>
      <c r="E24" s="1" t="s">
        <v>6</v>
      </c>
      <c r="F24" s="12">
        <v>24</v>
      </c>
    </row>
    <row r="25" spans="1:6" x14ac:dyDescent="0.35">
      <c r="A25" s="7" t="s">
        <v>130</v>
      </c>
      <c r="B25" s="12">
        <v>20018</v>
      </c>
      <c r="C25" s="1" t="s">
        <v>5</v>
      </c>
      <c r="D25" s="12">
        <v>0</v>
      </c>
      <c r="E25" s="1" t="s">
        <v>6</v>
      </c>
      <c r="F25" s="12">
        <v>24</v>
      </c>
    </row>
    <row r="26" spans="1:6" x14ac:dyDescent="0.35">
      <c r="A26" s="7" t="s">
        <v>131</v>
      </c>
      <c r="B26" s="12">
        <v>20020</v>
      </c>
      <c r="C26" s="1" t="s">
        <v>5</v>
      </c>
      <c r="D26" s="12">
        <v>0</v>
      </c>
      <c r="E26" s="1" t="s">
        <v>6</v>
      </c>
      <c r="F26" s="12">
        <v>24</v>
      </c>
    </row>
    <row r="27" spans="1:6" x14ac:dyDescent="0.35">
      <c r="A27" s="7" t="s">
        <v>132</v>
      </c>
      <c r="B27" s="12">
        <v>20022</v>
      </c>
      <c r="C27" s="1" t="s">
        <v>5</v>
      </c>
      <c r="D27" s="12">
        <v>0</v>
      </c>
      <c r="E27" s="1" t="s">
        <v>6</v>
      </c>
      <c r="F27" s="12">
        <v>24</v>
      </c>
    </row>
    <row r="28" spans="1:6" x14ac:dyDescent="0.35">
      <c r="A28" s="7" t="s">
        <v>133</v>
      </c>
      <c r="B28" s="12">
        <v>20024</v>
      </c>
      <c r="C28" s="1" t="s">
        <v>5</v>
      </c>
      <c r="D28" s="12">
        <v>0</v>
      </c>
      <c r="E28" s="1" t="s">
        <v>6</v>
      </c>
      <c r="F28" s="12">
        <v>24</v>
      </c>
    </row>
    <row r="29" spans="1:6" x14ac:dyDescent="0.35">
      <c r="A29" s="7" t="s">
        <v>134</v>
      </c>
      <c r="B29" s="12">
        <v>20026</v>
      </c>
      <c r="C29" s="1" t="s">
        <v>5</v>
      </c>
      <c r="D29" s="12">
        <v>0</v>
      </c>
      <c r="E29" s="1" t="s">
        <v>6</v>
      </c>
      <c r="F29" s="12">
        <v>24</v>
      </c>
    </row>
    <row r="30" spans="1:6" x14ac:dyDescent="0.35">
      <c r="A30" s="7" t="s">
        <v>135</v>
      </c>
      <c r="B30" s="12">
        <v>20028</v>
      </c>
      <c r="C30" s="1" t="s">
        <v>5</v>
      </c>
      <c r="D30" s="12">
        <v>0</v>
      </c>
      <c r="E30" s="1" t="s">
        <v>6</v>
      </c>
      <c r="F30" s="12">
        <v>24</v>
      </c>
    </row>
    <row r="31" spans="1:6" x14ac:dyDescent="0.35">
      <c r="A31" s="7" t="s">
        <v>136</v>
      </c>
      <c r="B31" s="12">
        <v>20030</v>
      </c>
      <c r="C31" s="1" t="s">
        <v>5</v>
      </c>
      <c r="D31" s="12">
        <v>0</v>
      </c>
      <c r="E31" s="1" t="s">
        <v>6</v>
      </c>
      <c r="F31" s="12">
        <v>24</v>
      </c>
    </row>
    <row r="32" spans="1:6" x14ac:dyDescent="0.35">
      <c r="A32" s="7" t="s">
        <v>137</v>
      </c>
      <c r="B32" s="12">
        <v>20032</v>
      </c>
      <c r="C32" s="1" t="s">
        <v>5</v>
      </c>
      <c r="D32" s="12">
        <v>0</v>
      </c>
      <c r="E32" s="1" t="s">
        <v>6</v>
      </c>
      <c r="F32" s="12">
        <v>24</v>
      </c>
    </row>
    <row r="33" spans="1:6" x14ac:dyDescent="0.35">
      <c r="A33" s="7" t="s">
        <v>138</v>
      </c>
      <c r="B33" s="12">
        <v>20034</v>
      </c>
      <c r="C33" s="1" t="s">
        <v>5</v>
      </c>
      <c r="D33" s="12">
        <v>0</v>
      </c>
      <c r="E33" s="1" t="s">
        <v>6</v>
      </c>
      <c r="F33" s="12">
        <v>24</v>
      </c>
    </row>
    <row r="34" spans="1:6" x14ac:dyDescent="0.35">
      <c r="A34" s="7" t="s">
        <v>139</v>
      </c>
      <c r="B34" s="12">
        <v>20036</v>
      </c>
      <c r="C34" s="1" t="s">
        <v>5</v>
      </c>
      <c r="D34" s="12">
        <v>0</v>
      </c>
      <c r="E34" s="1" t="s">
        <v>6</v>
      </c>
      <c r="F34" s="12">
        <v>24</v>
      </c>
    </row>
    <row r="35" spans="1:6" x14ac:dyDescent="0.35">
      <c r="A35" s="7" t="s">
        <v>140</v>
      </c>
      <c r="B35" s="12">
        <v>20038</v>
      </c>
      <c r="C35" s="1" t="s">
        <v>5</v>
      </c>
      <c r="D35" s="12">
        <v>0</v>
      </c>
      <c r="E35" s="1" t="s">
        <v>6</v>
      </c>
      <c r="F35" s="12">
        <v>24</v>
      </c>
    </row>
    <row r="36" spans="1:6" x14ac:dyDescent="0.35">
      <c r="A36" s="7" t="s">
        <v>141</v>
      </c>
      <c r="B36" s="12">
        <v>20040</v>
      </c>
      <c r="C36" s="1" t="s">
        <v>5</v>
      </c>
      <c r="D36" s="12">
        <v>0</v>
      </c>
      <c r="E36" s="1" t="s">
        <v>6</v>
      </c>
      <c r="F36" s="12">
        <v>24</v>
      </c>
    </row>
    <row r="37" spans="1:6" x14ac:dyDescent="0.35">
      <c r="A37" s="7" t="s">
        <v>142</v>
      </c>
      <c r="B37" s="12">
        <v>20042</v>
      </c>
      <c r="C37" s="1" t="s">
        <v>5</v>
      </c>
      <c r="D37" s="12">
        <v>0</v>
      </c>
      <c r="E37" s="1" t="s">
        <v>6</v>
      </c>
      <c r="F37" s="12">
        <v>24</v>
      </c>
    </row>
    <row r="38" spans="1:6" x14ac:dyDescent="0.35">
      <c r="A38" s="7" t="s">
        <v>143</v>
      </c>
      <c r="B38" s="12">
        <v>20044</v>
      </c>
      <c r="C38" s="1" t="s">
        <v>5</v>
      </c>
      <c r="D38" s="12">
        <v>0</v>
      </c>
      <c r="E38" s="1" t="s">
        <v>6</v>
      </c>
      <c r="F38" s="12">
        <v>24</v>
      </c>
    </row>
    <row r="39" spans="1:6" x14ac:dyDescent="0.35">
      <c r="A39" s="7" t="s">
        <v>144</v>
      </c>
      <c r="B39" s="12">
        <v>20046</v>
      </c>
      <c r="C39" s="1" t="s">
        <v>5</v>
      </c>
      <c r="D39" s="12">
        <v>0</v>
      </c>
      <c r="E39" s="1" t="s">
        <v>6</v>
      </c>
      <c r="F39" s="12">
        <v>24</v>
      </c>
    </row>
    <row r="40" spans="1:6" x14ac:dyDescent="0.35">
      <c r="A40" s="7" t="s">
        <v>145</v>
      </c>
      <c r="B40" s="12">
        <v>20048</v>
      </c>
      <c r="C40" s="1" t="s">
        <v>5</v>
      </c>
      <c r="D40" s="12">
        <v>0</v>
      </c>
      <c r="E40" s="1" t="s">
        <v>6</v>
      </c>
      <c r="F40" s="12">
        <v>24</v>
      </c>
    </row>
    <row r="41" spans="1:6" x14ac:dyDescent="0.35">
      <c r="A41" s="7" t="s">
        <v>146</v>
      </c>
      <c r="B41" s="12">
        <v>20050</v>
      </c>
      <c r="C41" s="1" t="s">
        <v>5</v>
      </c>
      <c r="D41" s="12">
        <v>0</v>
      </c>
      <c r="E41" s="1" t="s">
        <v>6</v>
      </c>
      <c r="F41" s="12">
        <v>24</v>
      </c>
    </row>
    <row r="42" spans="1:6" x14ac:dyDescent="0.35">
      <c r="A42" s="7" t="s">
        <v>147</v>
      </c>
      <c r="B42" s="12">
        <v>20052</v>
      </c>
      <c r="C42" s="1" t="s">
        <v>5</v>
      </c>
      <c r="D42" s="12">
        <v>0</v>
      </c>
      <c r="E42" s="1" t="s">
        <v>6</v>
      </c>
      <c r="F42" s="12">
        <v>24</v>
      </c>
    </row>
    <row r="43" spans="1:6" x14ac:dyDescent="0.35">
      <c r="A43" s="7" t="s">
        <v>148</v>
      </c>
      <c r="B43" s="12">
        <v>20054</v>
      </c>
      <c r="C43" s="1" t="s">
        <v>5</v>
      </c>
      <c r="D43" s="12">
        <v>0</v>
      </c>
      <c r="E43" s="1" t="s">
        <v>6</v>
      </c>
      <c r="F43" s="12">
        <v>24</v>
      </c>
    </row>
    <row r="44" spans="1:6" x14ac:dyDescent="0.35">
      <c r="A44" s="7" t="s">
        <v>149</v>
      </c>
      <c r="B44" s="12">
        <v>20058</v>
      </c>
      <c r="C44" s="1" t="s">
        <v>5</v>
      </c>
      <c r="D44" s="12">
        <v>0</v>
      </c>
      <c r="E44" s="1" t="s">
        <v>6</v>
      </c>
      <c r="F44" s="12">
        <v>24</v>
      </c>
    </row>
    <row r="45" spans="1:6" x14ac:dyDescent="0.35">
      <c r="A45" s="7" t="s">
        <v>150</v>
      </c>
      <c r="B45" s="12">
        <v>20060</v>
      </c>
      <c r="C45" s="1" t="s">
        <v>5</v>
      </c>
      <c r="D45" s="12">
        <v>0</v>
      </c>
      <c r="E45" s="1" t="s">
        <v>6</v>
      </c>
      <c r="F45" s="12">
        <v>24</v>
      </c>
    </row>
    <row r="46" spans="1:6" x14ac:dyDescent="0.35">
      <c r="A46" s="7" t="s">
        <v>112</v>
      </c>
      <c r="B46" s="12">
        <v>21000</v>
      </c>
      <c r="C46" s="1" t="s">
        <v>5</v>
      </c>
      <c r="D46" s="12">
        <v>0</v>
      </c>
      <c r="E46" s="1" t="s">
        <v>6</v>
      </c>
      <c r="F46" s="12">
        <v>24</v>
      </c>
    </row>
    <row r="47" spans="1:6" x14ac:dyDescent="0.35">
      <c r="A47" s="7" t="s">
        <v>113</v>
      </c>
      <c r="B47" s="12">
        <v>21002</v>
      </c>
      <c r="C47" s="1" t="s">
        <v>5</v>
      </c>
      <c r="D47" s="12">
        <v>0</v>
      </c>
      <c r="E47" s="1" t="s">
        <v>6</v>
      </c>
      <c r="F47" s="12">
        <v>24</v>
      </c>
    </row>
    <row r="48" spans="1:6" x14ac:dyDescent="0.35">
      <c r="A48" s="7" t="s">
        <v>114</v>
      </c>
      <c r="B48" s="12">
        <v>21004</v>
      </c>
      <c r="C48" s="1" t="s">
        <v>5</v>
      </c>
      <c r="D48" s="12">
        <v>0</v>
      </c>
      <c r="E48" s="1" t="s">
        <v>6</v>
      </c>
      <c r="F48" s="12">
        <v>24</v>
      </c>
    </row>
    <row r="49" spans="1:6" x14ac:dyDescent="0.35">
      <c r="A49" s="7" t="s">
        <v>115</v>
      </c>
      <c r="B49" s="12">
        <v>21006</v>
      </c>
      <c r="C49" s="1" t="s">
        <v>5</v>
      </c>
      <c r="D49" s="12">
        <v>0</v>
      </c>
      <c r="E49" s="1" t="s">
        <v>6</v>
      </c>
      <c r="F49" s="12">
        <v>24</v>
      </c>
    </row>
    <row r="50" spans="1:6" x14ac:dyDescent="0.35">
      <c r="A50" s="7" t="s">
        <v>116</v>
      </c>
      <c r="B50" s="12">
        <v>21008</v>
      </c>
      <c r="C50" s="1" t="s">
        <v>5</v>
      </c>
      <c r="D50" s="12">
        <v>0</v>
      </c>
      <c r="E50" s="1" t="s">
        <v>6</v>
      </c>
      <c r="F50" s="12">
        <v>24</v>
      </c>
    </row>
    <row r="51" spans="1:6" x14ac:dyDescent="0.35">
      <c r="A51" s="7" t="s">
        <v>117</v>
      </c>
      <c r="B51" s="12">
        <v>21010</v>
      </c>
      <c r="C51" s="1" t="s">
        <v>5</v>
      </c>
      <c r="D51" s="12">
        <v>0</v>
      </c>
      <c r="E51" s="1" t="s">
        <v>6</v>
      </c>
      <c r="F51" s="12">
        <v>24</v>
      </c>
    </row>
    <row r="52" spans="1:6" x14ac:dyDescent="0.35">
      <c r="A52" s="7" t="s">
        <v>118</v>
      </c>
      <c r="B52" s="12">
        <v>21012</v>
      </c>
      <c r="C52" s="1" t="s">
        <v>5</v>
      </c>
      <c r="D52" s="12">
        <v>0</v>
      </c>
      <c r="E52" s="1" t="s">
        <v>6</v>
      </c>
      <c r="F52" s="12">
        <v>24</v>
      </c>
    </row>
    <row r="53" spans="1:6" x14ac:dyDescent="0.35">
      <c r="A53" s="7" t="s">
        <v>119</v>
      </c>
      <c r="B53" s="12">
        <v>21014</v>
      </c>
      <c r="C53" s="1" t="s">
        <v>5</v>
      </c>
      <c r="D53" s="12">
        <v>0</v>
      </c>
      <c r="E53" s="1" t="s">
        <v>6</v>
      </c>
      <c r="F53" s="12">
        <v>24</v>
      </c>
    </row>
    <row r="54" spans="1:6" x14ac:dyDescent="0.35">
      <c r="A54" s="9" t="s">
        <v>120</v>
      </c>
      <c r="B54" s="13">
        <v>21016</v>
      </c>
      <c r="C54" s="10" t="s">
        <v>5</v>
      </c>
      <c r="D54" s="13">
        <v>0</v>
      </c>
      <c r="E54" s="10" t="s">
        <v>6</v>
      </c>
      <c r="F54" s="13">
        <v>24</v>
      </c>
    </row>
  </sheetData>
  <phoneticPr fontId="1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23" zoomScaleNormal="100" workbookViewId="0">
      <selection activeCell="B8" sqref="B8"/>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3" ht="21" x14ac:dyDescent="0.5">
      <c r="A1" s="42" t="s">
        <v>85</v>
      </c>
      <c r="B1" s="41" t="s">
        <v>167</v>
      </c>
    </row>
    <row r="2" spans="1:3" ht="18.5" x14ac:dyDescent="0.45">
      <c r="B2" s="40" t="s">
        <v>166</v>
      </c>
    </row>
    <row r="5" spans="1:3" ht="14.5" x14ac:dyDescent="0.35">
      <c r="B5" s="1" t="s">
        <v>151</v>
      </c>
    </row>
    <row r="6" spans="1:3" ht="14.5" x14ac:dyDescent="0.35">
      <c r="A6" s="3" t="s">
        <v>53</v>
      </c>
      <c r="B6" s="1" t="s">
        <v>181</v>
      </c>
    </row>
    <row r="7" spans="1:3" ht="14.5" x14ac:dyDescent="0.35">
      <c r="A7" s="3" t="s">
        <v>153</v>
      </c>
      <c r="B7" s="1" t="s">
        <v>182</v>
      </c>
    </row>
    <row r="10" spans="1:3" ht="23.5" x14ac:dyDescent="0.55000000000000004">
      <c r="A10" s="17" t="s">
        <v>162</v>
      </c>
    </row>
    <row r="11" spans="1:3" ht="14.5" x14ac:dyDescent="0.35">
      <c r="A11" s="32" t="s">
        <v>86</v>
      </c>
      <c r="B11" s="16" t="s">
        <v>87</v>
      </c>
      <c r="C11" s="16" t="s">
        <v>88</v>
      </c>
    </row>
    <row r="12" spans="1:3" ht="14.5" x14ac:dyDescent="0.35">
      <c r="A12" s="32">
        <v>44927</v>
      </c>
      <c r="B12" s="16" t="s">
        <v>59</v>
      </c>
      <c r="C12" s="16">
        <v>200</v>
      </c>
    </row>
    <row r="13" spans="1:3" ht="14.5" x14ac:dyDescent="0.35">
      <c r="A13" s="32">
        <v>44928</v>
      </c>
      <c r="B13" s="16" t="s">
        <v>60</v>
      </c>
      <c r="C13" s="16" t="e">
        <v>#N/A</v>
      </c>
    </row>
    <row r="14" spans="1:3" ht="14.5" x14ac:dyDescent="0.35">
      <c r="A14" s="32">
        <v>44929</v>
      </c>
      <c r="B14" s="16" t="s">
        <v>61</v>
      </c>
      <c r="C14" s="16">
        <v>50</v>
      </c>
    </row>
    <row r="15" spans="1:3" ht="14.5" x14ac:dyDescent="0.35">
      <c r="A15" s="32">
        <v>44930</v>
      </c>
      <c r="B15" s="16" t="s">
        <v>62</v>
      </c>
      <c r="C15" s="16" t="e">
        <v>#N/A</v>
      </c>
    </row>
    <row r="16" spans="1:3" ht="14.5" x14ac:dyDescent="0.35">
      <c r="A16" s="32">
        <v>44931</v>
      </c>
      <c r="B16" s="16" t="s">
        <v>63</v>
      </c>
      <c r="C16" s="16">
        <v>10</v>
      </c>
    </row>
    <row r="17" spans="1:3" ht="14.5" x14ac:dyDescent="0.35">
      <c r="A17" s="32">
        <v>44932</v>
      </c>
      <c r="B17" s="16" t="s">
        <v>154</v>
      </c>
      <c r="C17" s="16">
        <v>150</v>
      </c>
    </row>
    <row r="18" spans="1:3" ht="14.5" x14ac:dyDescent="0.35">
      <c r="A18" s="32">
        <v>44933</v>
      </c>
      <c r="B18" s="16" t="s">
        <v>155</v>
      </c>
      <c r="C18" s="16">
        <v>80</v>
      </c>
    </row>
    <row r="19" spans="1:3" ht="14.5" x14ac:dyDescent="0.35">
      <c r="A19" s="32">
        <v>44934</v>
      </c>
      <c r="B19" s="16" t="s">
        <v>156</v>
      </c>
      <c r="C19" s="16" t="e">
        <v>#N/A</v>
      </c>
    </row>
    <row r="20" spans="1:3" ht="14.5" x14ac:dyDescent="0.35">
      <c r="A20" s="32">
        <v>44935</v>
      </c>
      <c r="B20" s="16" t="s">
        <v>157</v>
      </c>
      <c r="C20" s="16">
        <v>30</v>
      </c>
    </row>
    <row r="21" spans="1:3" ht="14.5" x14ac:dyDescent="0.35">
      <c r="A21" s="32">
        <v>44936</v>
      </c>
      <c r="B21" s="16" t="s">
        <v>158</v>
      </c>
      <c r="C21" s="16" t="e">
        <v>#N/A</v>
      </c>
    </row>
    <row r="22" spans="1:3" ht="14.5" x14ac:dyDescent="0.35">
      <c r="B22" s="16" t="s">
        <v>159</v>
      </c>
      <c r="C22" s="24">
        <f t="array" ref="C22">SUM(IF(ISNA(C12:C21),20,C12:C21))</f>
        <v>600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O35"/>
  <sheetViews>
    <sheetView tabSelected="1" topLeftCell="A3" zoomScaleNormal="100" workbookViewId="0">
      <selection activeCell="D7" sqref="D7"/>
    </sheetView>
  </sheetViews>
  <sheetFormatPr defaultColWidth="11" defaultRowHeight="13" x14ac:dyDescent="0.3"/>
  <cols>
    <col min="1" max="1" width="28.19921875" style="2" bestFit="1" customWidth="1"/>
    <col min="2" max="16384" width="11" style="2"/>
  </cols>
  <sheetData>
    <row r="1" spans="1:15" ht="21" x14ac:dyDescent="0.5">
      <c r="A1" s="42" t="s">
        <v>98</v>
      </c>
      <c r="B1" s="41" t="s">
        <v>175</v>
      </c>
    </row>
    <row r="3" spans="1:15" ht="14.5" x14ac:dyDescent="0.35">
      <c r="B3" s="1" t="s">
        <v>151</v>
      </c>
    </row>
    <row r="4" spans="1:15" ht="18.5" x14ac:dyDescent="0.45">
      <c r="A4" s="43" t="s">
        <v>53</v>
      </c>
      <c r="B4" s="1"/>
      <c r="C4" s="56" t="s">
        <v>188</v>
      </c>
      <c r="D4" s="56"/>
      <c r="E4" s="56"/>
      <c r="F4" s="56"/>
      <c r="G4" s="56"/>
      <c r="H4" s="56"/>
    </row>
    <row r="5" spans="1:15" ht="18.5" x14ac:dyDescent="0.45">
      <c r="A5" s="43" t="s">
        <v>153</v>
      </c>
      <c r="B5" s="1"/>
    </row>
    <row r="6" spans="1:15" ht="14.5" x14ac:dyDescent="0.35">
      <c r="A6" s="3"/>
      <c r="B6" s="1"/>
    </row>
    <row r="8" spans="1:15" ht="23.5" x14ac:dyDescent="0.55000000000000004">
      <c r="A8" s="17" t="s">
        <v>162</v>
      </c>
      <c r="M8" s="17" t="s">
        <v>163</v>
      </c>
    </row>
    <row r="9" spans="1:15" ht="14.5" x14ac:dyDescent="0.35">
      <c r="A9" s="47" t="s">
        <v>99</v>
      </c>
      <c r="B9" s="48" t="s">
        <v>89</v>
      </c>
      <c r="C9" s="48" t="s">
        <v>90</v>
      </c>
      <c r="D9" s="48" t="s">
        <v>91</v>
      </c>
      <c r="E9" s="48" t="s">
        <v>92</v>
      </c>
      <c r="F9" s="48" t="s">
        <v>93</v>
      </c>
      <c r="G9" s="48" t="s">
        <v>94</v>
      </c>
      <c r="H9" s="48" t="s">
        <v>95</v>
      </c>
      <c r="I9" s="48" t="s">
        <v>96</v>
      </c>
      <c r="J9" s="49" t="s">
        <v>97</v>
      </c>
      <c r="M9" s="53" t="s">
        <v>43</v>
      </c>
      <c r="N9" s="54" t="s">
        <v>99</v>
      </c>
      <c r="O9" s="55" t="s">
        <v>183</v>
      </c>
    </row>
    <row r="10" spans="1:15" ht="14.5" x14ac:dyDescent="0.35">
      <c r="A10" s="46" t="s">
        <v>89</v>
      </c>
      <c r="B10" s="24">
        <v>-1</v>
      </c>
      <c r="C10" s="24">
        <v>95</v>
      </c>
      <c r="D10" s="24">
        <v>-1</v>
      </c>
      <c r="E10" s="24">
        <v>185</v>
      </c>
      <c r="F10" s="24">
        <v>255</v>
      </c>
      <c r="G10" s="24">
        <v>305</v>
      </c>
      <c r="H10" s="24">
        <v>415</v>
      </c>
      <c r="I10" s="24">
        <v>480</v>
      </c>
      <c r="J10" s="38">
        <v>525</v>
      </c>
      <c r="M10" s="8">
        <v>10100</v>
      </c>
      <c r="N10" s="7" t="s">
        <v>89</v>
      </c>
      <c r="O10" s="2">
        <f>VLOOKUP(Table3[[#This Row],[Name]],Table2[],2,FALSE)</f>
        <v>-1</v>
      </c>
    </row>
    <row r="11" spans="1:15" ht="14.5" x14ac:dyDescent="0.35">
      <c r="A11" s="46" t="s">
        <v>90</v>
      </c>
      <c r="B11" s="24">
        <v>95</v>
      </c>
      <c r="C11" s="24">
        <v>-1</v>
      </c>
      <c r="D11" s="24">
        <v>-1</v>
      </c>
      <c r="E11" s="24">
        <v>90</v>
      </c>
      <c r="F11" s="24">
        <v>160</v>
      </c>
      <c r="G11" s="24">
        <v>210</v>
      </c>
      <c r="H11" s="24">
        <v>325</v>
      </c>
      <c r="I11" s="24">
        <v>390</v>
      </c>
      <c r="J11" s="38">
        <v>430</v>
      </c>
      <c r="M11" s="8">
        <v>10102</v>
      </c>
      <c r="N11" s="7" t="s">
        <v>90</v>
      </c>
      <c r="O11" s="2">
        <f>VLOOKUP(Table3[[#This Row],[Name]],Table2[],2,FALSE)</f>
        <v>95</v>
      </c>
    </row>
    <row r="12" spans="1:15" ht="14.5" x14ac:dyDescent="0.35">
      <c r="A12" s="46" t="s">
        <v>91</v>
      </c>
      <c r="B12" s="24">
        <v>-1</v>
      </c>
      <c r="C12" s="24">
        <v>-1</v>
      </c>
      <c r="D12" s="24">
        <v>-1</v>
      </c>
      <c r="E12" s="24">
        <v>60</v>
      </c>
      <c r="F12" s="24">
        <v>130</v>
      </c>
      <c r="G12" s="24">
        <v>180</v>
      </c>
      <c r="H12" s="24">
        <v>295</v>
      </c>
      <c r="I12" s="24">
        <v>355</v>
      </c>
      <c r="J12" s="38">
        <v>400</v>
      </c>
      <c r="M12" s="8">
        <v>10104</v>
      </c>
      <c r="N12" s="7" t="s">
        <v>91</v>
      </c>
      <c r="O12" s="2">
        <f>VLOOKUP(Table3[[#This Row],[Name]],Table2[],2,FALSE)</f>
        <v>-1</v>
      </c>
    </row>
    <row r="13" spans="1:15" ht="14.5" x14ac:dyDescent="0.35">
      <c r="A13" s="46" t="s">
        <v>92</v>
      </c>
      <c r="B13" s="24">
        <v>185</v>
      </c>
      <c r="C13" s="24">
        <v>90</v>
      </c>
      <c r="D13" s="24">
        <v>60</v>
      </c>
      <c r="E13" s="24">
        <v>-1</v>
      </c>
      <c r="F13" s="24">
        <v>70</v>
      </c>
      <c r="G13" s="24">
        <v>120</v>
      </c>
      <c r="H13" s="24">
        <v>235</v>
      </c>
      <c r="I13" s="24">
        <v>300</v>
      </c>
      <c r="J13" s="38">
        <v>340</v>
      </c>
      <c r="M13" s="8">
        <v>10106</v>
      </c>
      <c r="N13" s="7" t="s">
        <v>92</v>
      </c>
      <c r="O13" s="2">
        <f>VLOOKUP(Table3[[#This Row],[Name]],Table2[],2,FALSE)</f>
        <v>185</v>
      </c>
    </row>
    <row r="14" spans="1:15" ht="14.5" x14ac:dyDescent="0.35">
      <c r="A14" s="46" t="s">
        <v>93</v>
      </c>
      <c r="B14" s="24">
        <v>255</v>
      </c>
      <c r="C14" s="24">
        <v>160</v>
      </c>
      <c r="D14" s="24">
        <v>130</v>
      </c>
      <c r="E14" s="24">
        <v>70</v>
      </c>
      <c r="F14" s="24">
        <v>-1</v>
      </c>
      <c r="G14" s="24">
        <v>50</v>
      </c>
      <c r="H14" s="24">
        <v>165</v>
      </c>
      <c r="I14" s="24">
        <v>230</v>
      </c>
      <c r="J14" s="38">
        <v>270</v>
      </c>
      <c r="M14" s="8">
        <v>10108</v>
      </c>
      <c r="N14" s="7" t="s">
        <v>93</v>
      </c>
      <c r="O14" s="2">
        <f>VLOOKUP(Table3[[#This Row],[Name]],Table2[],2,FALSE)</f>
        <v>255</v>
      </c>
    </row>
    <row r="15" spans="1:15" ht="14.5" x14ac:dyDescent="0.35">
      <c r="A15" s="46" t="s">
        <v>94</v>
      </c>
      <c r="B15" s="24">
        <v>305</v>
      </c>
      <c r="C15" s="24">
        <v>210</v>
      </c>
      <c r="D15" s="24">
        <v>180</v>
      </c>
      <c r="E15" s="24">
        <v>120</v>
      </c>
      <c r="F15" s="24">
        <v>50</v>
      </c>
      <c r="G15" s="24">
        <v>-1</v>
      </c>
      <c r="H15" s="24">
        <v>115</v>
      </c>
      <c r="I15" s="24">
        <v>180</v>
      </c>
      <c r="J15" s="38">
        <v>220</v>
      </c>
      <c r="M15" s="8">
        <v>10110</v>
      </c>
      <c r="N15" s="7" t="s">
        <v>94</v>
      </c>
      <c r="O15" s="2">
        <f>VLOOKUP(Table3[[#This Row],[Name]],Table2[],2,FALSE)</f>
        <v>305</v>
      </c>
    </row>
    <row r="16" spans="1:15" ht="14.5" x14ac:dyDescent="0.35">
      <c r="A16" s="46" t="s">
        <v>95</v>
      </c>
      <c r="B16" s="24">
        <v>415</v>
      </c>
      <c r="C16" s="24">
        <v>325</v>
      </c>
      <c r="D16" s="24">
        <v>295</v>
      </c>
      <c r="E16" s="24">
        <v>235</v>
      </c>
      <c r="F16" s="24">
        <v>165</v>
      </c>
      <c r="G16" s="24">
        <v>115</v>
      </c>
      <c r="H16" s="24">
        <v>-1</v>
      </c>
      <c r="I16" s="24">
        <v>65</v>
      </c>
      <c r="J16" s="38">
        <v>105</v>
      </c>
      <c r="M16" s="8">
        <v>10112</v>
      </c>
      <c r="N16" s="7" t="s">
        <v>95</v>
      </c>
      <c r="O16" s="2">
        <f>VLOOKUP(Table3[[#This Row],[Name]],Table2[],2,FALSE)</f>
        <v>415</v>
      </c>
    </row>
    <row r="17" spans="1:15" ht="14.5" x14ac:dyDescent="0.35">
      <c r="A17" s="46" t="s">
        <v>96</v>
      </c>
      <c r="B17" s="24">
        <v>480</v>
      </c>
      <c r="C17" s="24">
        <v>390</v>
      </c>
      <c r="D17" s="24">
        <v>355</v>
      </c>
      <c r="E17" s="24">
        <v>300</v>
      </c>
      <c r="F17" s="24">
        <v>230</v>
      </c>
      <c r="G17" s="24">
        <v>180</v>
      </c>
      <c r="H17" s="24">
        <v>65</v>
      </c>
      <c r="I17" s="24">
        <v>-1</v>
      </c>
      <c r="J17" s="38">
        <v>40</v>
      </c>
      <c r="M17" s="8">
        <v>10114</v>
      </c>
      <c r="N17" s="7" t="s">
        <v>96</v>
      </c>
      <c r="O17" s="2">
        <f>VLOOKUP(Table3[[#This Row],[Name]],Table2[],2,FALSE)</f>
        <v>480</v>
      </c>
    </row>
    <row r="18" spans="1:15" ht="14.5" x14ac:dyDescent="0.35">
      <c r="A18" s="50" t="s">
        <v>97</v>
      </c>
      <c r="B18" s="51">
        <v>525</v>
      </c>
      <c r="C18" s="51">
        <v>430</v>
      </c>
      <c r="D18" s="51">
        <v>400</v>
      </c>
      <c r="E18" s="51">
        <v>340</v>
      </c>
      <c r="F18" s="51">
        <v>270</v>
      </c>
      <c r="G18" s="51">
        <v>220</v>
      </c>
      <c r="H18" s="51">
        <v>105</v>
      </c>
      <c r="I18" s="51">
        <v>40</v>
      </c>
      <c r="J18" s="52">
        <v>-1</v>
      </c>
      <c r="M18" s="8">
        <v>10116</v>
      </c>
      <c r="N18" s="7" t="s">
        <v>97</v>
      </c>
      <c r="O18" s="2">
        <f>VLOOKUP(Table3[[#This Row],[Name]],Table2[],2,FALSE)</f>
        <v>525</v>
      </c>
    </row>
    <row r="21" spans="1:15" ht="23.5" x14ac:dyDescent="0.55000000000000004">
      <c r="A21" s="17" t="s">
        <v>168</v>
      </c>
      <c r="H21" s="57" t="s">
        <v>187</v>
      </c>
      <c r="I21" s="56"/>
      <c r="J21" s="56"/>
    </row>
    <row r="22" spans="1:15" ht="14.5" x14ac:dyDescent="0.35">
      <c r="A22" s="10" t="s">
        <v>100</v>
      </c>
      <c r="B22" s="13" t="s">
        <v>101</v>
      </c>
      <c r="C22" s="10" t="s">
        <v>102</v>
      </c>
      <c r="H22" s="2" t="s">
        <v>184</v>
      </c>
      <c r="I22" s="2" t="s">
        <v>185</v>
      </c>
      <c r="J22" s="2" t="s">
        <v>186</v>
      </c>
    </row>
    <row r="23" spans="1:15" ht="14.5" x14ac:dyDescent="0.35">
      <c r="A23" s="1">
        <v>10100</v>
      </c>
      <c r="B23" s="12">
        <v>10102</v>
      </c>
      <c r="H23" s="2" t="str">
        <f>VLOOKUP(Table4[[#This Row],[name_1]],Table3[#All],2,FALSE)</f>
        <v>A</v>
      </c>
      <c r="I23" s="2" t="str">
        <f>VLOOKUP(Table4[[#This Row],[name_2]],Table3[#All],2,FALSE)</f>
        <v>B</v>
      </c>
      <c r="J23" s="2">
        <f>VLOOKUP(H23,Table2[#All],MATCH(I23,Table2[#Headers],0),FALSE)</f>
        <v>95</v>
      </c>
    </row>
    <row r="24" spans="1:15" ht="14.5" x14ac:dyDescent="0.35">
      <c r="A24" s="1">
        <v>10100</v>
      </c>
      <c r="B24" s="12">
        <v>10104</v>
      </c>
      <c r="H24" s="2" t="str">
        <f>VLOOKUP(Table4[[#This Row],[name_1]],Table3[#All],2,FALSE)</f>
        <v>A</v>
      </c>
      <c r="I24" s="2" t="str">
        <f>VLOOKUP(Table4[[#This Row],[name_2]],Table3[#All],2,FALSE)</f>
        <v>C</v>
      </c>
      <c r="J24" s="2">
        <f>VLOOKUP(H24,Table2[#All],MATCH(I24,Table2[#Headers],0),FALSE)</f>
        <v>-1</v>
      </c>
    </row>
    <row r="25" spans="1:15" ht="14.5" x14ac:dyDescent="0.35">
      <c r="A25" s="1">
        <v>10108</v>
      </c>
      <c r="B25" s="12">
        <v>10102</v>
      </c>
      <c r="H25" s="2" t="str">
        <f>VLOOKUP(Table4[[#This Row],[name_1]],Table3[#All],2,FALSE)</f>
        <v>E</v>
      </c>
      <c r="I25" s="2" t="str">
        <f>VLOOKUP(Table4[[#This Row],[name_2]],Table3[#All],2,FALSE)</f>
        <v>B</v>
      </c>
      <c r="J25" s="2">
        <f>VLOOKUP(H25,Table2[#All],MATCH(I25,Table2[#Headers],0),FALSE)</f>
        <v>160</v>
      </c>
    </row>
    <row r="26" spans="1:15" ht="14.5" x14ac:dyDescent="0.35">
      <c r="A26" s="1">
        <v>10100</v>
      </c>
      <c r="B26" s="12">
        <v>10106</v>
      </c>
      <c r="H26" s="2" t="str">
        <f>VLOOKUP(Table4[[#This Row],[name_1]],Table3[#All],2,FALSE)</f>
        <v>A</v>
      </c>
      <c r="I26" s="2" t="str">
        <f>VLOOKUP(Table4[[#This Row],[name_2]],Table3[#All],2,FALSE)</f>
        <v>D</v>
      </c>
      <c r="J26" s="2">
        <f>VLOOKUP(H26,Table2[#All],MATCH(I26,Table2[#Headers],0),FALSE)</f>
        <v>185</v>
      </c>
    </row>
    <row r="27" spans="1:15" ht="14.5" x14ac:dyDescent="0.35">
      <c r="A27" s="1">
        <v>10108</v>
      </c>
      <c r="B27" s="12">
        <v>10110</v>
      </c>
      <c r="H27" s="2" t="str">
        <f>VLOOKUP(Table4[[#This Row],[name_1]],Table3[#All],2,FALSE)</f>
        <v>E</v>
      </c>
      <c r="I27" s="2" t="str">
        <f>VLOOKUP(Table4[[#This Row],[name_2]],Table3[#All],2,FALSE)</f>
        <v>F</v>
      </c>
      <c r="J27" s="2">
        <f>VLOOKUP(H27,Table2[#All],MATCH(I27,Table2[#Headers],0),FALSE)</f>
        <v>50</v>
      </c>
    </row>
    <row r="28" spans="1:15" ht="14.5" x14ac:dyDescent="0.35">
      <c r="A28" s="1">
        <v>10102</v>
      </c>
      <c r="B28" s="12">
        <v>10104</v>
      </c>
      <c r="H28" s="2" t="str">
        <f>VLOOKUP(Table4[[#This Row],[name_1]],Table3[#All],2,FALSE)</f>
        <v>B</v>
      </c>
      <c r="I28" s="2" t="str">
        <f>VLOOKUP(Table4[[#This Row],[name_2]],Table3[#All],2,FALSE)</f>
        <v>C</v>
      </c>
      <c r="J28" s="2">
        <f>VLOOKUP(H28,Table2[#All],MATCH(I28,Table2[#Headers],0),FALSE)</f>
        <v>-1</v>
      </c>
    </row>
    <row r="29" spans="1:15" ht="14.5" x14ac:dyDescent="0.35">
      <c r="A29" s="1">
        <v>10106</v>
      </c>
      <c r="B29" s="12">
        <v>10108</v>
      </c>
      <c r="H29" s="2" t="str">
        <f>VLOOKUP(Table4[[#This Row],[name_1]],Table3[#All],2,FALSE)</f>
        <v>D</v>
      </c>
      <c r="I29" s="2" t="str">
        <f>VLOOKUP(Table4[[#This Row],[name_2]],Table3[#All],2,FALSE)</f>
        <v>E</v>
      </c>
      <c r="J29" s="2">
        <f>VLOOKUP(H29,Table2[#All],MATCH(I29,Table2[#Headers],0),FALSE)</f>
        <v>70</v>
      </c>
    </row>
    <row r="30" spans="1:15" ht="14.5" x14ac:dyDescent="0.35">
      <c r="A30" s="1">
        <v>10102</v>
      </c>
      <c r="B30" s="12">
        <v>10106</v>
      </c>
      <c r="H30" s="2" t="str">
        <f>VLOOKUP(Table4[[#This Row],[name_1]],Table3[#All],2,FALSE)</f>
        <v>B</v>
      </c>
      <c r="I30" s="2" t="str">
        <f>VLOOKUP(Table4[[#This Row],[name_2]],Table3[#All],2,FALSE)</f>
        <v>D</v>
      </c>
      <c r="J30" s="2">
        <f>VLOOKUP(H30,Table2[#All],MATCH(I30,Table2[#Headers],0),FALSE)</f>
        <v>90</v>
      </c>
    </row>
    <row r="31" spans="1:15" ht="14.5" x14ac:dyDescent="0.35">
      <c r="A31" s="1">
        <v>10110</v>
      </c>
      <c r="B31" s="12">
        <v>10114</v>
      </c>
      <c r="H31" s="2" t="str">
        <f>VLOOKUP(Table4[[#This Row],[name_1]],Table3[#All],2,FALSE)</f>
        <v>F</v>
      </c>
      <c r="I31" s="2" t="str">
        <f>VLOOKUP(Table4[[#This Row],[name_2]],Table3[#All],2,FALSE)</f>
        <v>H</v>
      </c>
      <c r="J31" s="2">
        <f>VLOOKUP(H31,Table2[#All],MATCH(I31,Table2[#Headers],0),FALSE)</f>
        <v>180</v>
      </c>
    </row>
    <row r="32" spans="1:15" ht="14.5" x14ac:dyDescent="0.35">
      <c r="A32" s="1">
        <v>10104</v>
      </c>
      <c r="B32" s="12">
        <v>10106</v>
      </c>
      <c r="H32" s="2" t="str">
        <f>VLOOKUP(Table4[[#This Row],[name_1]],Table3[#All],2,FALSE)</f>
        <v>C</v>
      </c>
      <c r="I32" s="2" t="str">
        <f>VLOOKUP(Table4[[#This Row],[name_2]],Table3[#All],2,FALSE)</f>
        <v>D</v>
      </c>
      <c r="J32" s="2">
        <f>VLOOKUP(H32,Table2[#All],MATCH(I32,Table2[#Headers],0),FALSE)</f>
        <v>60</v>
      </c>
    </row>
    <row r="33" spans="1:10" ht="14.5" x14ac:dyDescent="0.35">
      <c r="A33" s="1">
        <v>10110</v>
      </c>
      <c r="B33" s="12">
        <v>10112</v>
      </c>
      <c r="H33" s="2" t="str">
        <f>VLOOKUP(Table4[[#This Row],[name_1]],Table3[#All],2,FALSE)</f>
        <v>F</v>
      </c>
      <c r="I33" s="2" t="str">
        <f>VLOOKUP(Table4[[#This Row],[name_2]],Table3[#All],2,FALSE)</f>
        <v>G</v>
      </c>
      <c r="J33" s="2">
        <f>VLOOKUP(H33,Table2[#All],MATCH(I33,Table2[#Headers],0),FALSE)</f>
        <v>115</v>
      </c>
    </row>
    <row r="34" spans="1:10" ht="14.5" x14ac:dyDescent="0.35">
      <c r="A34" s="1">
        <v>10100</v>
      </c>
      <c r="B34" s="12">
        <v>10114</v>
      </c>
      <c r="H34" s="2" t="str">
        <f>VLOOKUP(Table4[[#This Row],[name_1]],Table3[#All],2,FALSE)</f>
        <v>A</v>
      </c>
      <c r="I34" s="2" t="str">
        <f>VLOOKUP(Table4[[#This Row],[name_2]],Table3[#All],2,FALSE)</f>
        <v>H</v>
      </c>
      <c r="J34" s="2">
        <f>VLOOKUP(H34,Table2[#All],MATCH(I34,Table2[#Headers],0),FALSE)</f>
        <v>480</v>
      </c>
    </row>
    <row r="35" spans="1:10" ht="14.5" x14ac:dyDescent="0.35">
      <c r="A35" s="1">
        <v>10112</v>
      </c>
      <c r="B35" s="12">
        <v>10116</v>
      </c>
      <c r="H35" s="2" t="str">
        <f>VLOOKUP(Table4[[#This Row],[name_1]],Table3[#All],2,FALSE)</f>
        <v>G</v>
      </c>
      <c r="I35" s="2" t="str">
        <f>VLOOKUP(Table4[[#This Row],[name_2]],Table3[#All],2,FALSE)</f>
        <v>I</v>
      </c>
      <c r="J35" s="2">
        <f>VLOOKUP(H35,Table2[#All],MATCH(I35,Table2[#Headers],0),FALSE)</f>
        <v>105</v>
      </c>
    </row>
  </sheetData>
  <mergeCells count="2">
    <mergeCell ref="H21:J21"/>
    <mergeCell ref="C4:H4"/>
  </mergeCells>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820A26-4320-4061-BCA0-A8AC6D3410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Dataset_copy</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Rahul Jangid</cp:lastModifiedBy>
  <dcterms:created xsi:type="dcterms:W3CDTF">2015-02-10T17:33:11Z</dcterms:created>
  <dcterms:modified xsi:type="dcterms:W3CDTF">2023-12-11T16:03:18Z</dcterms:modified>
</cp:coreProperties>
</file>